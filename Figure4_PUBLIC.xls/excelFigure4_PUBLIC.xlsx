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esktop\Figure4_PUBLIC.xls\"/>
    </mc:Choice>
  </mc:AlternateContent>
  <xr:revisionPtr revIDLastSave="0" documentId="13_ncr:1_{38E8A7A4-3789-4B20-8862-5BAF24D74EFA}" xr6:coauthVersionLast="47" xr6:coauthVersionMax="47" xr10:uidLastSave="{00000000-0000-0000-0000-000000000000}"/>
  <bookViews>
    <workbookView xWindow="-110" yWindow="-110" windowWidth="19420" windowHeight="10300" xr2:uid="{DC9DC673-4321-47ED-AAD8-1989C8A638FD}"/>
  </bookViews>
  <sheets>
    <sheet name="figures-Figure4" sheetId="1" r:id="rId1"/>
  </sheets>
  <definedNames>
    <definedName name="_xlnm._FilterDatabase" localSheetId="0" hidden="1">'figures-Figure4'!#REF!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4" i="1" l="1"/>
  <c r="C44" i="1"/>
  <c r="D44" i="1"/>
  <c r="E44" i="1"/>
  <c r="F44" i="1"/>
  <c r="G44" i="1"/>
  <c r="H44" i="1"/>
  <c r="O44" i="1" s="1"/>
  <c r="I44" i="1"/>
  <c r="J44" i="1"/>
  <c r="K44" i="1"/>
  <c r="L44" i="1"/>
  <c r="M44" i="1"/>
  <c r="N44" i="1"/>
  <c r="O36" i="1"/>
  <c r="O37" i="1"/>
  <c r="O38" i="1"/>
  <c r="O39" i="1"/>
  <c r="O40" i="1"/>
  <c r="O41" i="1"/>
  <c r="O42" i="1"/>
  <c r="O43" i="1"/>
</calcChain>
</file>

<file path=xl/sharedStrings.xml><?xml version="1.0" encoding="utf-8"?>
<sst xmlns="http://schemas.openxmlformats.org/spreadsheetml/2006/main" count="68" uniqueCount="46">
  <si>
    <t>Candida albicans</t>
  </si>
  <si>
    <t>Candida dubliniensis</t>
  </si>
  <si>
    <t>Candida parapsilosis</t>
  </si>
  <si>
    <t>Candida tropicalis</t>
  </si>
  <si>
    <t>Candidozyma auris (Candida auris)</t>
  </si>
  <si>
    <t>Candidozyma haemuli (Candida haemulonii)</t>
  </si>
  <si>
    <t>Pichia kudriavzevii (Candida krusei)</t>
  </si>
  <si>
    <t>Debaryomyces hansenii (Candida famata)</t>
  </si>
  <si>
    <t>Diutina catenulata (Candida catenulata)</t>
  </si>
  <si>
    <t>Metschnikowia pulcherrima (Candida pulcherrima)</t>
  </si>
  <si>
    <t>Meyerozyma guilliermondii (Candida guilliermondii)</t>
  </si>
  <si>
    <t>Wickerhamomyces anomalus (Candida pelliculosa)</t>
  </si>
  <si>
    <t>Total general</t>
  </si>
  <si>
    <t>ND</t>
  </si>
  <si>
    <t>Diutina catenulata (C. catenulata)</t>
  </si>
  <si>
    <t>Metschnikowia pulcherrima (C. pulcherrima)</t>
  </si>
  <si>
    <t>Yamadazyma ciferrii (C. ciferrii)</t>
  </si>
  <si>
    <t>Debaryomyces hansenii (C. famata)</t>
  </si>
  <si>
    <t>Meyerozyma guilliermondii (C. guilliermondii)</t>
  </si>
  <si>
    <t>Pichia kudriavzevii (C. krusei)</t>
  </si>
  <si>
    <t>Wickerhamomyces anomalus (C. pelliculosa)</t>
  </si>
  <si>
    <t>Servicio hospitalario</t>
  </si>
  <si>
    <t>Origen clínico de la muestra</t>
  </si>
  <si>
    <t>Cultivo positivo sin sitio</t>
  </si>
  <si>
    <t>Nakaseomyces glabratus (C. glabrata)</t>
  </si>
  <si>
    <t>Nakaseomyces glabratus (Candida glabrata)</t>
  </si>
  <si>
    <t>Years</t>
  </si>
  <si>
    <t xml:space="preserve">Total </t>
  </si>
  <si>
    <t>ICU (adult)</t>
  </si>
  <si>
    <t>ICU (neonatal)</t>
  </si>
  <si>
    <t>ICU (coronary)</t>
  </si>
  <si>
    <t>Emergency department</t>
  </si>
  <si>
    <t>Hospitalization</t>
  </si>
  <si>
    <t>Surgery</t>
  </si>
  <si>
    <t>Outpatient clinic</t>
  </si>
  <si>
    <t>Bloodstream</t>
  </si>
  <si>
    <t>Sterile serous cavities</t>
  </si>
  <si>
    <t>Surgical site / soft tissues</t>
  </si>
  <si>
    <t>Lower respiratory tract</t>
  </si>
  <si>
    <t>Urogenital tract</t>
  </si>
  <si>
    <t>Gastrointestinal tract</t>
  </si>
  <si>
    <t>Superficial cavities</t>
  </si>
  <si>
    <t>Female genitourinary tract</t>
  </si>
  <si>
    <t>Oropharyngeal cavity</t>
  </si>
  <si>
    <t>Superficial tissues / cutaneous appendages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</si>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</sst>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0508110421133409E-2"/>
          <c:y val="3.8780333502322323E-2"/>
          <c:w val="0.89684644955394277"/>
          <c:h val="0.61628676693824669"/>
        </c:manualLayout>
      </c:layout>
      <c:barChart>
        <c:barDir val="col"/>
        <c:grouping val="stacked"/>
        <c:varyColors val="0"/>
        <c:ser>
          <c:idx val="12"/>
          <c:order val="0"/>
          <c:tx>
            <c:strRef>
              <c:f>'figures-Figure4'!$N$65</c:f>
              <c:strCache>
                <c:ptCount val="1"/>
                <c:pt idx="0">
                  <c:v>Wickerhamomyces anomalus (Candida pelliculosa)</c:v>
                </c:pt>
              </c:strCache>
            </c:strRef>
          </c:tx>
          <c:spPr>
            <a:solidFill>
              <a:srgbClr val="00B0F0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elete val="1"/>
          </c:dLbls>
          <c:cat>
            <c:strRef>
              <c:f>'figures-Figure4'!$A$66:$A$76</c:f>
              <c:strCache>
                <c:ptCount val="11"/>
                <c:pt idx="0">
                  <c:v>Bloodstream</c:v>
                </c:pt>
                <c:pt idx="1">
                  <c:v>Sterile serous cavities</c:v>
                </c:pt>
                <c:pt idx="2">
                  <c:v>Surgical site / soft tissues</c:v>
                </c:pt>
                <c:pt idx="3">
                  <c:v>Lower respiratory tract</c:v>
                </c:pt>
                <c:pt idx="4">
                  <c:v>Urogenital tract</c:v>
                </c:pt>
                <c:pt idx="5">
                  <c:v>Gastrointestinal tract</c:v>
                </c:pt>
                <c:pt idx="6">
                  <c:v>Superficial cavities</c:v>
                </c:pt>
                <c:pt idx="7">
                  <c:v>Female genitourinary tract</c:v>
                </c:pt>
                <c:pt idx="8">
                  <c:v>Oropharyngeal cavity</c:v>
                </c:pt>
                <c:pt idx="9">
                  <c:v>Superficial tissues / cutaneous appendages</c:v>
                </c:pt>
                <c:pt idx="10">
                  <c:v>Cultivo positivo sin sitio</c:v>
                </c:pt>
              </c:strCache>
            </c:strRef>
          </c:cat>
          <c:val>
            <c:numRef>
              <c:f>'figures-Figure4'!$N$66:$N$76</c:f>
              <c:numCache>
                <c:formatCode>0.00</c:formatCode>
                <c:ptCount val="11"/>
                <c:pt idx="0">
                  <c:v>13.043478260869565</c:v>
                </c:pt>
                <c:pt idx="9">
                  <c:v>0.86956521739130432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55-45AD-B9D2-F71E2EA5B1AA}"/>
            </c:ext>
          </c:extLst>
        </c:ser>
        <c:ser>
          <c:idx val="8"/>
          <c:order val="1"/>
          <c:tx>
            <c:strRef>
              <c:f>'figures-Figure4'!$J$65</c:f>
              <c:strCache>
                <c:ptCount val="1"/>
                <c:pt idx="0">
                  <c:v>Metschnikowia pulcherrima (Candida pulcherrima)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elete val="1"/>
          </c:dLbls>
          <c:cat>
            <c:strRef>
              <c:f>'figures-Figure4'!$A$66:$A$76</c:f>
              <c:strCache>
                <c:ptCount val="11"/>
                <c:pt idx="0">
                  <c:v>Bloodstream</c:v>
                </c:pt>
                <c:pt idx="1">
                  <c:v>Sterile serous cavities</c:v>
                </c:pt>
                <c:pt idx="2">
                  <c:v>Surgical site / soft tissues</c:v>
                </c:pt>
                <c:pt idx="3">
                  <c:v>Lower respiratory tract</c:v>
                </c:pt>
                <c:pt idx="4">
                  <c:v>Urogenital tract</c:v>
                </c:pt>
                <c:pt idx="5">
                  <c:v>Gastrointestinal tract</c:v>
                </c:pt>
                <c:pt idx="6">
                  <c:v>Superficial cavities</c:v>
                </c:pt>
                <c:pt idx="7">
                  <c:v>Female genitourinary tract</c:v>
                </c:pt>
                <c:pt idx="8">
                  <c:v>Oropharyngeal cavity</c:v>
                </c:pt>
                <c:pt idx="9">
                  <c:v>Superficial tissues / cutaneous appendages</c:v>
                </c:pt>
                <c:pt idx="10">
                  <c:v>Cultivo positivo sin sitio</c:v>
                </c:pt>
              </c:strCache>
            </c:strRef>
          </c:cat>
          <c:val>
            <c:numRef>
              <c:f>'figures-Figure4'!$J$66:$J$76</c:f>
              <c:numCache>
                <c:formatCode>0.00</c:formatCode>
                <c:ptCount val="11"/>
                <c:pt idx="9">
                  <c:v>0.86956521739130432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55-45AD-B9D2-F71E2EA5B1AA}"/>
            </c:ext>
          </c:extLst>
        </c:ser>
        <c:ser>
          <c:idx val="9"/>
          <c:order val="2"/>
          <c:tx>
            <c:strRef>
              <c:f>'figures-Figure4'!$K$65</c:f>
              <c:strCache>
                <c:ptCount val="1"/>
                <c:pt idx="0">
                  <c:v>Meyerozyma guilliermondii (Candida guilliermondii)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elete val="1"/>
          </c:dLbls>
          <c:cat>
            <c:strRef>
              <c:f>'figures-Figure4'!$A$66:$A$76</c:f>
              <c:strCache>
                <c:ptCount val="11"/>
                <c:pt idx="0">
                  <c:v>Bloodstream</c:v>
                </c:pt>
                <c:pt idx="1">
                  <c:v>Sterile serous cavities</c:v>
                </c:pt>
                <c:pt idx="2">
                  <c:v>Surgical site / soft tissues</c:v>
                </c:pt>
                <c:pt idx="3">
                  <c:v>Lower respiratory tract</c:v>
                </c:pt>
                <c:pt idx="4">
                  <c:v>Urogenital tract</c:v>
                </c:pt>
                <c:pt idx="5">
                  <c:v>Gastrointestinal tract</c:v>
                </c:pt>
                <c:pt idx="6">
                  <c:v>Superficial cavities</c:v>
                </c:pt>
                <c:pt idx="7">
                  <c:v>Female genitourinary tract</c:v>
                </c:pt>
                <c:pt idx="8">
                  <c:v>Oropharyngeal cavity</c:v>
                </c:pt>
                <c:pt idx="9">
                  <c:v>Superficial tissues / cutaneous appendages</c:v>
                </c:pt>
                <c:pt idx="10">
                  <c:v>Cultivo positivo sin sitio</c:v>
                </c:pt>
              </c:strCache>
            </c:strRef>
          </c:cat>
          <c:val>
            <c:numRef>
              <c:f>'figures-Figure4'!$K$66:$K$76</c:f>
              <c:numCache>
                <c:formatCode>0.00</c:formatCode>
                <c:ptCount val="11"/>
                <c:pt idx="4">
                  <c:v>0.95238095238095244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55-45AD-B9D2-F71E2EA5B1AA}"/>
            </c:ext>
          </c:extLst>
        </c:ser>
        <c:ser>
          <c:idx val="7"/>
          <c:order val="3"/>
          <c:tx>
            <c:strRef>
              <c:f>'figures-Figure4'!$I$65</c:f>
              <c:strCache>
                <c:ptCount val="1"/>
                <c:pt idx="0">
                  <c:v>Diutina catenulata (Candida catenulata)</c:v>
                </c:pt>
              </c:strCache>
            </c:strRef>
          </c:tx>
          <c:spPr>
            <a:solidFill>
              <a:schemeClr val="tx2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elete val="1"/>
          </c:dLbls>
          <c:cat>
            <c:strRef>
              <c:f>'figures-Figure4'!$A$66:$A$76</c:f>
              <c:strCache>
                <c:ptCount val="11"/>
                <c:pt idx="0">
                  <c:v>Bloodstream</c:v>
                </c:pt>
                <c:pt idx="1">
                  <c:v>Sterile serous cavities</c:v>
                </c:pt>
                <c:pt idx="2">
                  <c:v>Surgical site / soft tissues</c:v>
                </c:pt>
                <c:pt idx="3">
                  <c:v>Lower respiratory tract</c:v>
                </c:pt>
                <c:pt idx="4">
                  <c:v>Urogenital tract</c:v>
                </c:pt>
                <c:pt idx="5">
                  <c:v>Gastrointestinal tract</c:v>
                </c:pt>
                <c:pt idx="6">
                  <c:v>Superficial cavities</c:v>
                </c:pt>
                <c:pt idx="7">
                  <c:v>Female genitourinary tract</c:v>
                </c:pt>
                <c:pt idx="8">
                  <c:v>Oropharyngeal cavity</c:v>
                </c:pt>
                <c:pt idx="9">
                  <c:v>Superficial tissues / cutaneous appendages</c:v>
                </c:pt>
                <c:pt idx="10">
                  <c:v>Cultivo positivo sin sitio</c:v>
                </c:pt>
              </c:strCache>
            </c:strRef>
          </c:cat>
          <c:val>
            <c:numRef>
              <c:f>'figures-Figure4'!$I$66:$I$76</c:f>
              <c:numCache>
                <c:formatCode>0.00</c:formatCode>
                <c:ptCount val="11"/>
                <c:pt idx="9">
                  <c:v>0.86956521739130432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255-45AD-B9D2-F71E2EA5B1AA}"/>
            </c:ext>
          </c:extLst>
        </c:ser>
        <c:ser>
          <c:idx val="6"/>
          <c:order val="4"/>
          <c:tx>
            <c:strRef>
              <c:f>'figures-Figure4'!$H$65</c:f>
              <c:strCache>
                <c:ptCount val="1"/>
                <c:pt idx="0">
                  <c:v>Debaryomyces hansenii (Candida famata)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elete val="1"/>
          </c:dLbls>
          <c:cat>
            <c:strRef>
              <c:f>'figures-Figure4'!$A$66:$A$76</c:f>
              <c:strCache>
                <c:ptCount val="11"/>
                <c:pt idx="0">
                  <c:v>Bloodstream</c:v>
                </c:pt>
                <c:pt idx="1">
                  <c:v>Sterile serous cavities</c:v>
                </c:pt>
                <c:pt idx="2">
                  <c:v>Surgical site / soft tissues</c:v>
                </c:pt>
                <c:pt idx="3">
                  <c:v>Lower respiratory tract</c:v>
                </c:pt>
                <c:pt idx="4">
                  <c:v>Urogenital tract</c:v>
                </c:pt>
                <c:pt idx="5">
                  <c:v>Gastrointestinal tract</c:v>
                </c:pt>
                <c:pt idx="6">
                  <c:v>Superficial cavities</c:v>
                </c:pt>
                <c:pt idx="7">
                  <c:v>Female genitourinary tract</c:v>
                </c:pt>
                <c:pt idx="8">
                  <c:v>Oropharyngeal cavity</c:v>
                </c:pt>
                <c:pt idx="9">
                  <c:v>Superficial tissues / cutaneous appendages</c:v>
                </c:pt>
                <c:pt idx="10">
                  <c:v>Cultivo positivo sin sitio</c:v>
                </c:pt>
              </c:strCache>
            </c:strRef>
          </c:cat>
          <c:val>
            <c:numRef>
              <c:f>'figures-Figure4'!$H$66:$H$76</c:f>
              <c:numCache>
                <c:formatCode>0.00</c:formatCode>
                <c:ptCount val="11"/>
                <c:pt idx="4">
                  <c:v>0.95238095238095244</c:v>
                </c:pt>
                <c:pt idx="9">
                  <c:v>0.86956521739130432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255-45AD-B9D2-F71E2EA5B1AA}"/>
            </c:ext>
          </c:extLst>
        </c:ser>
        <c:ser>
          <c:idx val="1"/>
          <c:order val="5"/>
          <c:tx>
            <c:strRef>
              <c:f>'figures-Figure4'!$C$65</c:f>
              <c:strCache>
                <c:ptCount val="1"/>
                <c:pt idx="0">
                  <c:v>Candida dubliniensis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elete val="1"/>
          </c:dLbls>
          <c:cat>
            <c:strRef>
              <c:f>'figures-Figure4'!$A$66:$A$76</c:f>
              <c:strCache>
                <c:ptCount val="11"/>
                <c:pt idx="0">
                  <c:v>Bloodstream</c:v>
                </c:pt>
                <c:pt idx="1">
                  <c:v>Sterile serous cavities</c:v>
                </c:pt>
                <c:pt idx="2">
                  <c:v>Surgical site / soft tissues</c:v>
                </c:pt>
                <c:pt idx="3">
                  <c:v>Lower respiratory tract</c:v>
                </c:pt>
                <c:pt idx="4">
                  <c:v>Urogenital tract</c:v>
                </c:pt>
                <c:pt idx="5">
                  <c:v>Gastrointestinal tract</c:v>
                </c:pt>
                <c:pt idx="6">
                  <c:v>Superficial cavities</c:v>
                </c:pt>
                <c:pt idx="7">
                  <c:v>Female genitourinary tract</c:v>
                </c:pt>
                <c:pt idx="8">
                  <c:v>Oropharyngeal cavity</c:v>
                </c:pt>
                <c:pt idx="9">
                  <c:v>Superficial tissues / cutaneous appendages</c:v>
                </c:pt>
                <c:pt idx="10">
                  <c:v>Cultivo positivo sin sitio</c:v>
                </c:pt>
              </c:strCache>
            </c:strRef>
          </c:cat>
          <c:val>
            <c:numRef>
              <c:f>'figures-Figure4'!$C$66:$C$76</c:f>
              <c:numCache>
                <c:formatCode>0.00</c:formatCode>
                <c:ptCount val="11"/>
                <c:pt idx="4">
                  <c:v>3.8095238095238098</c:v>
                </c:pt>
                <c:pt idx="9">
                  <c:v>1.7391304347826086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255-45AD-B9D2-F71E2EA5B1AA}"/>
            </c:ext>
          </c:extLst>
        </c:ser>
        <c:ser>
          <c:idx val="5"/>
          <c:order val="6"/>
          <c:tx>
            <c:strRef>
              <c:f>'figures-Figure4'!$G$65</c:f>
              <c:strCache>
                <c:ptCount val="1"/>
                <c:pt idx="0">
                  <c:v>Candidozyma haemuli (Candida haemulonii)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elete val="1"/>
          </c:dLbls>
          <c:cat>
            <c:strRef>
              <c:f>'figures-Figure4'!$A$66:$A$76</c:f>
              <c:strCache>
                <c:ptCount val="11"/>
                <c:pt idx="0">
                  <c:v>Bloodstream</c:v>
                </c:pt>
                <c:pt idx="1">
                  <c:v>Sterile serous cavities</c:v>
                </c:pt>
                <c:pt idx="2">
                  <c:v>Surgical site / soft tissues</c:v>
                </c:pt>
                <c:pt idx="3">
                  <c:v>Lower respiratory tract</c:v>
                </c:pt>
                <c:pt idx="4">
                  <c:v>Urogenital tract</c:v>
                </c:pt>
                <c:pt idx="5">
                  <c:v>Gastrointestinal tract</c:v>
                </c:pt>
                <c:pt idx="6">
                  <c:v>Superficial cavities</c:v>
                </c:pt>
                <c:pt idx="7">
                  <c:v>Female genitourinary tract</c:v>
                </c:pt>
                <c:pt idx="8">
                  <c:v>Oropharyngeal cavity</c:v>
                </c:pt>
                <c:pt idx="9">
                  <c:v>Superficial tissues / cutaneous appendages</c:v>
                </c:pt>
                <c:pt idx="10">
                  <c:v>Cultivo positivo sin sitio</c:v>
                </c:pt>
              </c:strCache>
            </c:strRef>
          </c:cat>
          <c:val>
            <c:numRef>
              <c:f>'figures-Figure4'!$G$66:$G$76</c:f>
              <c:numCache>
                <c:formatCode>0.00</c:formatCode>
                <c:ptCount val="11"/>
                <c:pt idx="9">
                  <c:v>0.86956521739130432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255-45AD-B9D2-F71E2EA5B1AA}"/>
            </c:ext>
          </c:extLst>
        </c:ser>
        <c:ser>
          <c:idx val="11"/>
          <c:order val="7"/>
          <c:tx>
            <c:strRef>
              <c:f>'figures-Figure4'!$M$65</c:f>
              <c:strCache>
                <c:ptCount val="1"/>
                <c:pt idx="0">
                  <c:v>Pichia kudriavzevii (Candida krusei)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'figures-Figure4'!$A$66:$A$76</c:f>
              <c:strCache>
                <c:ptCount val="11"/>
                <c:pt idx="0">
                  <c:v>Bloodstream</c:v>
                </c:pt>
                <c:pt idx="1">
                  <c:v>Sterile serous cavities</c:v>
                </c:pt>
                <c:pt idx="2">
                  <c:v>Surgical site / soft tissues</c:v>
                </c:pt>
                <c:pt idx="3">
                  <c:v>Lower respiratory tract</c:v>
                </c:pt>
                <c:pt idx="4">
                  <c:v>Urogenital tract</c:v>
                </c:pt>
                <c:pt idx="5">
                  <c:v>Gastrointestinal tract</c:v>
                </c:pt>
                <c:pt idx="6">
                  <c:v>Superficial cavities</c:v>
                </c:pt>
                <c:pt idx="7">
                  <c:v>Female genitourinary tract</c:v>
                </c:pt>
                <c:pt idx="8">
                  <c:v>Oropharyngeal cavity</c:v>
                </c:pt>
                <c:pt idx="9">
                  <c:v>Superficial tissues / cutaneous appendages</c:v>
                </c:pt>
                <c:pt idx="10">
                  <c:v>Cultivo positivo sin sitio</c:v>
                </c:pt>
              </c:strCache>
            </c:strRef>
          </c:cat>
          <c:val>
            <c:numRef>
              <c:f>'figures-Figure4'!$M$66:$M$76</c:f>
              <c:numCache>
                <c:formatCode>0.00</c:formatCode>
                <c:ptCount val="11"/>
                <c:pt idx="9">
                  <c:v>1.7391304347826086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255-45AD-B9D2-F71E2EA5B1AA}"/>
            </c:ext>
          </c:extLst>
        </c:ser>
        <c:ser>
          <c:idx val="10"/>
          <c:order val="8"/>
          <c:tx>
            <c:strRef>
              <c:f>'figures-Figure4'!$L$65</c:f>
              <c:strCache>
                <c:ptCount val="1"/>
                <c:pt idx="0">
                  <c:v>Nakaseomyces glabratus (Candida glabrata)</c:v>
                </c:pt>
              </c:strCache>
            </c:strRef>
          </c:tx>
          <c:spPr>
            <a:solidFill>
              <a:srgbClr val="FFFF00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'figures-Figure4'!$A$66:$A$76</c:f>
              <c:strCache>
                <c:ptCount val="11"/>
                <c:pt idx="0">
                  <c:v>Bloodstream</c:v>
                </c:pt>
                <c:pt idx="1">
                  <c:v>Sterile serous cavities</c:v>
                </c:pt>
                <c:pt idx="2">
                  <c:v>Surgical site / soft tissues</c:v>
                </c:pt>
                <c:pt idx="3">
                  <c:v>Lower respiratory tract</c:v>
                </c:pt>
                <c:pt idx="4">
                  <c:v>Urogenital tract</c:v>
                </c:pt>
                <c:pt idx="5">
                  <c:v>Gastrointestinal tract</c:v>
                </c:pt>
                <c:pt idx="6">
                  <c:v>Superficial cavities</c:v>
                </c:pt>
                <c:pt idx="7">
                  <c:v>Female genitourinary tract</c:v>
                </c:pt>
                <c:pt idx="8">
                  <c:v>Oropharyngeal cavity</c:v>
                </c:pt>
                <c:pt idx="9">
                  <c:v>Superficial tissues / cutaneous appendages</c:v>
                </c:pt>
                <c:pt idx="10">
                  <c:v>Cultivo positivo sin sitio</c:v>
                </c:pt>
              </c:strCache>
            </c:strRef>
          </c:cat>
          <c:val>
            <c:numRef>
              <c:f>'figures-Figure4'!$L$66:$L$76</c:f>
              <c:numCache>
                <c:formatCode>0.00</c:formatCode>
                <c:ptCount val="11"/>
                <c:pt idx="0">
                  <c:v>8.695652173913043</c:v>
                </c:pt>
                <c:pt idx="3">
                  <c:v>5.2631578947368416</c:v>
                </c:pt>
                <c:pt idx="4">
                  <c:v>16.19047619047619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255-45AD-B9D2-F71E2EA5B1AA}"/>
            </c:ext>
          </c:extLst>
        </c:ser>
        <c:ser>
          <c:idx val="2"/>
          <c:order val="9"/>
          <c:tx>
            <c:strRef>
              <c:f>'figures-Figure4'!$D$65</c:f>
              <c:strCache>
                <c:ptCount val="1"/>
                <c:pt idx="0">
                  <c:v>Candida parapsilosis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'figures-Figure4'!$A$66:$A$76</c:f>
              <c:strCache>
                <c:ptCount val="11"/>
                <c:pt idx="0">
                  <c:v>Bloodstream</c:v>
                </c:pt>
                <c:pt idx="1">
                  <c:v>Sterile serous cavities</c:v>
                </c:pt>
                <c:pt idx="2">
                  <c:v>Surgical site / soft tissues</c:v>
                </c:pt>
                <c:pt idx="3">
                  <c:v>Lower respiratory tract</c:v>
                </c:pt>
                <c:pt idx="4">
                  <c:v>Urogenital tract</c:v>
                </c:pt>
                <c:pt idx="5">
                  <c:v>Gastrointestinal tract</c:v>
                </c:pt>
                <c:pt idx="6">
                  <c:v>Superficial cavities</c:v>
                </c:pt>
                <c:pt idx="7">
                  <c:v>Female genitourinary tract</c:v>
                </c:pt>
                <c:pt idx="8">
                  <c:v>Oropharyngeal cavity</c:v>
                </c:pt>
                <c:pt idx="9">
                  <c:v>Superficial tissues / cutaneous appendages</c:v>
                </c:pt>
                <c:pt idx="10">
                  <c:v>Cultivo positivo sin sitio</c:v>
                </c:pt>
              </c:strCache>
            </c:strRef>
          </c:cat>
          <c:val>
            <c:numRef>
              <c:f>'figures-Figure4'!$D$66:$D$76</c:f>
              <c:numCache>
                <c:formatCode>0.00</c:formatCode>
                <c:ptCount val="11"/>
                <c:pt idx="0">
                  <c:v>34.782608695652172</c:v>
                </c:pt>
                <c:pt idx="1">
                  <c:v>37.5</c:v>
                </c:pt>
                <c:pt idx="2">
                  <c:v>11.111111111111111</c:v>
                </c:pt>
                <c:pt idx="3">
                  <c:v>10.526315789473683</c:v>
                </c:pt>
                <c:pt idx="4">
                  <c:v>4.7619047619047619</c:v>
                </c:pt>
                <c:pt idx="6">
                  <c:v>12.5</c:v>
                </c:pt>
                <c:pt idx="7">
                  <c:v>15.384615384615385</c:v>
                </c:pt>
                <c:pt idx="9">
                  <c:v>25.217391304347824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255-45AD-B9D2-F71E2EA5B1AA}"/>
            </c:ext>
          </c:extLst>
        </c:ser>
        <c:ser>
          <c:idx val="3"/>
          <c:order val="10"/>
          <c:tx>
            <c:strRef>
              <c:f>'figures-Figure4'!$E$65</c:f>
              <c:strCache>
                <c:ptCount val="1"/>
                <c:pt idx="0">
                  <c:v>Candida tropicalis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'figures-Figure4'!$A$66:$A$76</c:f>
              <c:strCache>
                <c:ptCount val="11"/>
                <c:pt idx="0">
                  <c:v>Bloodstream</c:v>
                </c:pt>
                <c:pt idx="1">
                  <c:v>Sterile serous cavities</c:v>
                </c:pt>
                <c:pt idx="2">
                  <c:v>Surgical site / soft tissues</c:v>
                </c:pt>
                <c:pt idx="3">
                  <c:v>Lower respiratory tract</c:v>
                </c:pt>
                <c:pt idx="4">
                  <c:v>Urogenital tract</c:v>
                </c:pt>
                <c:pt idx="5">
                  <c:v>Gastrointestinal tract</c:v>
                </c:pt>
                <c:pt idx="6">
                  <c:v>Superficial cavities</c:v>
                </c:pt>
                <c:pt idx="7">
                  <c:v>Female genitourinary tract</c:v>
                </c:pt>
                <c:pt idx="8">
                  <c:v>Oropharyngeal cavity</c:v>
                </c:pt>
                <c:pt idx="9">
                  <c:v>Superficial tissues / cutaneous appendages</c:v>
                </c:pt>
                <c:pt idx="10">
                  <c:v>Cultivo positivo sin sitio</c:v>
                </c:pt>
              </c:strCache>
            </c:strRef>
          </c:cat>
          <c:val>
            <c:numRef>
              <c:f>'figures-Figure4'!$E$66:$E$76</c:f>
              <c:numCache>
                <c:formatCode>0.00</c:formatCode>
                <c:ptCount val="11"/>
                <c:pt idx="1">
                  <c:v>37.5</c:v>
                </c:pt>
                <c:pt idx="2">
                  <c:v>11.111111111111111</c:v>
                </c:pt>
                <c:pt idx="3">
                  <c:v>31.578947368421051</c:v>
                </c:pt>
                <c:pt idx="4">
                  <c:v>20.952380952380953</c:v>
                </c:pt>
                <c:pt idx="9">
                  <c:v>3.4782608695652173</c:v>
                </c:pt>
                <c:pt idx="10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255-45AD-B9D2-F71E2EA5B1AA}"/>
            </c:ext>
          </c:extLst>
        </c:ser>
        <c:ser>
          <c:idx val="4"/>
          <c:order val="11"/>
          <c:tx>
            <c:strRef>
              <c:f>'figures-Figure4'!$F$65</c:f>
              <c:strCache>
                <c:ptCount val="1"/>
                <c:pt idx="0">
                  <c:v>Candidozyma auris (Candida auris)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'figures-Figure4'!$A$66:$A$76</c:f>
              <c:strCache>
                <c:ptCount val="11"/>
                <c:pt idx="0">
                  <c:v>Bloodstream</c:v>
                </c:pt>
                <c:pt idx="1">
                  <c:v>Sterile serous cavities</c:v>
                </c:pt>
                <c:pt idx="2">
                  <c:v>Surgical site / soft tissues</c:v>
                </c:pt>
                <c:pt idx="3">
                  <c:v>Lower respiratory tract</c:v>
                </c:pt>
                <c:pt idx="4">
                  <c:v>Urogenital tract</c:v>
                </c:pt>
                <c:pt idx="5">
                  <c:v>Gastrointestinal tract</c:v>
                </c:pt>
                <c:pt idx="6">
                  <c:v>Superficial cavities</c:v>
                </c:pt>
                <c:pt idx="7">
                  <c:v>Female genitourinary tract</c:v>
                </c:pt>
                <c:pt idx="8">
                  <c:v>Oropharyngeal cavity</c:v>
                </c:pt>
                <c:pt idx="9">
                  <c:v>Superficial tissues / cutaneous appendages</c:v>
                </c:pt>
                <c:pt idx="10">
                  <c:v>Cultivo positivo sin sitio</c:v>
                </c:pt>
              </c:strCache>
            </c:strRef>
          </c:cat>
          <c:val>
            <c:numRef>
              <c:f>'figures-Figure4'!$F$66:$F$76</c:f>
              <c:numCache>
                <c:formatCode>0.00</c:formatCode>
                <c:ptCount val="11"/>
                <c:pt idx="0">
                  <c:v>4.3478260869565215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255-45AD-B9D2-F71E2EA5B1AA}"/>
            </c:ext>
          </c:extLst>
        </c:ser>
        <c:ser>
          <c:idx val="0"/>
          <c:order val="12"/>
          <c:tx>
            <c:strRef>
              <c:f>'figures-Figure4'!$B$65</c:f>
              <c:strCache>
                <c:ptCount val="1"/>
                <c:pt idx="0">
                  <c:v>Candida albicans</c:v>
                </c:pt>
              </c:strCache>
            </c:strRef>
          </c:tx>
          <c:spPr>
            <a:solidFill>
              <a:srgbClr val="92D050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'figures-Figure4'!$A$66:$A$76</c:f>
              <c:strCache>
                <c:ptCount val="11"/>
                <c:pt idx="0">
                  <c:v>Bloodstream</c:v>
                </c:pt>
                <c:pt idx="1">
                  <c:v>Sterile serous cavities</c:v>
                </c:pt>
                <c:pt idx="2">
                  <c:v>Surgical site / soft tissues</c:v>
                </c:pt>
                <c:pt idx="3">
                  <c:v>Lower respiratory tract</c:v>
                </c:pt>
                <c:pt idx="4">
                  <c:v>Urogenital tract</c:v>
                </c:pt>
                <c:pt idx="5">
                  <c:v>Gastrointestinal tract</c:v>
                </c:pt>
                <c:pt idx="6">
                  <c:v>Superficial cavities</c:v>
                </c:pt>
                <c:pt idx="7">
                  <c:v>Female genitourinary tract</c:v>
                </c:pt>
                <c:pt idx="8">
                  <c:v>Oropharyngeal cavity</c:v>
                </c:pt>
                <c:pt idx="9">
                  <c:v>Superficial tissues / cutaneous appendages</c:v>
                </c:pt>
                <c:pt idx="10">
                  <c:v>Cultivo positivo sin sitio</c:v>
                </c:pt>
              </c:strCache>
            </c:strRef>
          </c:cat>
          <c:val>
            <c:numRef>
              <c:f>'figures-Figure4'!$B$66:$B$76</c:f>
              <c:numCache>
                <c:formatCode>0.00</c:formatCode>
                <c:ptCount val="11"/>
                <c:pt idx="0">
                  <c:v>39.130434782608695</c:v>
                </c:pt>
                <c:pt idx="1">
                  <c:v>25</c:v>
                </c:pt>
                <c:pt idx="2">
                  <c:v>77.777777777777786</c:v>
                </c:pt>
                <c:pt idx="3">
                  <c:v>52.631578947368418</c:v>
                </c:pt>
                <c:pt idx="4">
                  <c:v>52.380952380952387</c:v>
                </c:pt>
                <c:pt idx="5">
                  <c:v>100</c:v>
                </c:pt>
                <c:pt idx="6">
                  <c:v>87.5</c:v>
                </c:pt>
                <c:pt idx="7">
                  <c:v>84.615384615384613</c:v>
                </c:pt>
                <c:pt idx="8">
                  <c:v>100</c:v>
                </c:pt>
                <c:pt idx="9">
                  <c:v>63.478260869565219</c:v>
                </c:pt>
                <c:pt idx="10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255-45AD-B9D2-F71E2EA5B1A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1656558496"/>
        <c:axId val="1656560416"/>
      </c:barChart>
      <c:catAx>
        <c:axId val="1656558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s-CO" sz="1400" b="1"/>
                  <a:t>Clinical specimen source</a:t>
                </a:r>
              </a:p>
            </c:rich>
          </c:tx>
          <c:layout>
            <c:manualLayout>
              <c:xMode val="edge"/>
              <c:yMode val="edge"/>
              <c:x val="0.40122289164878622"/>
              <c:y val="0.928773144353941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CO"/>
          </a:p>
        </c:txPr>
        <c:crossAx val="1656560416"/>
        <c:crosses val="autoZero"/>
        <c:auto val="1"/>
        <c:lblAlgn val="ctr"/>
        <c:lblOffset val="100"/>
        <c:noMultiLvlLbl val="0"/>
      </c:catAx>
      <c:valAx>
        <c:axId val="1656560416"/>
        <c:scaling>
          <c:orientation val="minMax"/>
          <c:max val="1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s-CO" sz="1400" b="1"/>
                  <a:t>Porcentage of cases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s-CO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CO"/>
          </a:p>
        </c:txPr>
        <c:crossAx val="1656558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9736230591596055E-2"/>
          <c:y val="3.081232492997199E-2"/>
          <c:w val="0.56170248160916902"/>
          <c:h val="0.7255223141176933"/>
        </c:manualLayout>
      </c:layout>
      <c:barChart>
        <c:barDir val="col"/>
        <c:grouping val="stacked"/>
        <c:varyColors val="0"/>
        <c:ser>
          <c:idx val="12"/>
          <c:order val="0"/>
          <c:tx>
            <c:strRef>
              <c:f>'figures-Figure4'!$N$35</c:f>
              <c:strCache>
                <c:ptCount val="1"/>
                <c:pt idx="0">
                  <c:v>Wickerhamomyces anomalus (C. pelliculosa)</c:v>
                </c:pt>
              </c:strCache>
            </c:strRef>
          </c:tx>
          <c:spPr>
            <a:solidFill>
              <a:srgbClr val="00B0F0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206-41C8-A53D-892EAE94D38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'figures-Figure4'!$A$36:$A$43</c:f>
              <c:strCache>
                <c:ptCount val="8"/>
                <c:pt idx="0">
                  <c:v>ICU (adult)</c:v>
                </c:pt>
                <c:pt idx="1">
                  <c:v>ICU (neonatal)</c:v>
                </c:pt>
                <c:pt idx="2">
                  <c:v>ICU (coronary)</c:v>
                </c:pt>
                <c:pt idx="3">
                  <c:v>Emergency department</c:v>
                </c:pt>
                <c:pt idx="4">
                  <c:v>Hospitalization</c:v>
                </c:pt>
                <c:pt idx="5">
                  <c:v>Surgery</c:v>
                </c:pt>
                <c:pt idx="6">
                  <c:v>Outpatient clinic</c:v>
                </c:pt>
                <c:pt idx="7">
                  <c:v>ND</c:v>
                </c:pt>
              </c:strCache>
            </c:strRef>
          </c:cat>
          <c:val>
            <c:numRef>
              <c:f>'figures-Figure4'!$N$36:$N$43</c:f>
              <c:numCache>
                <c:formatCode>0.00</c:formatCode>
                <c:ptCount val="8"/>
                <c:pt idx="0">
                  <c:v>6.666666666666667</c:v>
                </c:pt>
                <c:pt idx="2">
                  <c:v>5.5555555555555554</c:v>
                </c:pt>
                <c:pt idx="7">
                  <c:v>0.95238095238095244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06-41C8-A53D-892EAE94D388}"/>
            </c:ext>
          </c:extLst>
        </c:ser>
        <c:ser>
          <c:idx val="8"/>
          <c:order val="1"/>
          <c:tx>
            <c:strRef>
              <c:f>'figures-Figure4'!$J$35</c:f>
              <c:strCache>
                <c:ptCount val="1"/>
                <c:pt idx="0">
                  <c:v>Metschnikowia pulcherrima (C. pulcherrima)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elete val="1"/>
          </c:dLbls>
          <c:cat>
            <c:strRef>
              <c:f>'figures-Figure4'!$A$36:$A$43</c:f>
              <c:strCache>
                <c:ptCount val="8"/>
                <c:pt idx="0">
                  <c:v>ICU (adult)</c:v>
                </c:pt>
                <c:pt idx="1">
                  <c:v>ICU (neonatal)</c:v>
                </c:pt>
                <c:pt idx="2">
                  <c:v>ICU (coronary)</c:v>
                </c:pt>
                <c:pt idx="3">
                  <c:v>Emergency department</c:v>
                </c:pt>
                <c:pt idx="4">
                  <c:v>Hospitalization</c:v>
                </c:pt>
                <c:pt idx="5">
                  <c:v>Surgery</c:v>
                </c:pt>
                <c:pt idx="6">
                  <c:v>Outpatient clinic</c:v>
                </c:pt>
                <c:pt idx="7">
                  <c:v>ND</c:v>
                </c:pt>
              </c:strCache>
            </c:strRef>
          </c:cat>
          <c:val>
            <c:numRef>
              <c:f>'figures-Figure4'!$J$36:$J$43</c:f>
              <c:numCache>
                <c:formatCode>0.00</c:formatCode>
                <c:ptCount val="8"/>
                <c:pt idx="6">
                  <c:v>1.2345679012345678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06-41C8-A53D-892EAE94D388}"/>
            </c:ext>
          </c:extLst>
        </c:ser>
        <c:ser>
          <c:idx val="9"/>
          <c:order val="2"/>
          <c:tx>
            <c:strRef>
              <c:f>'figures-Figure4'!$K$35</c:f>
              <c:strCache>
                <c:ptCount val="1"/>
                <c:pt idx="0">
                  <c:v>Meyerozyma guilliermondii (C. guilliermondii)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elete val="1"/>
          </c:dLbls>
          <c:cat>
            <c:strRef>
              <c:f>'figures-Figure4'!$A$36:$A$43</c:f>
              <c:strCache>
                <c:ptCount val="8"/>
                <c:pt idx="0">
                  <c:v>ICU (adult)</c:v>
                </c:pt>
                <c:pt idx="1">
                  <c:v>ICU (neonatal)</c:v>
                </c:pt>
                <c:pt idx="2">
                  <c:v>ICU (coronary)</c:v>
                </c:pt>
                <c:pt idx="3">
                  <c:v>Emergency department</c:v>
                </c:pt>
                <c:pt idx="4">
                  <c:v>Hospitalization</c:v>
                </c:pt>
                <c:pt idx="5">
                  <c:v>Surgery</c:v>
                </c:pt>
                <c:pt idx="6">
                  <c:v>Outpatient clinic</c:v>
                </c:pt>
                <c:pt idx="7">
                  <c:v>ND</c:v>
                </c:pt>
              </c:strCache>
            </c:strRef>
          </c:cat>
          <c:val>
            <c:numRef>
              <c:f>'figures-Figure4'!$K$36:$K$43</c:f>
              <c:numCache>
                <c:formatCode>0.00</c:formatCode>
                <c:ptCount val="8"/>
                <c:pt idx="6">
                  <c:v>1.2345679012345678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206-41C8-A53D-892EAE94D388}"/>
            </c:ext>
          </c:extLst>
        </c:ser>
        <c:ser>
          <c:idx val="7"/>
          <c:order val="3"/>
          <c:tx>
            <c:strRef>
              <c:f>'figures-Figure4'!$I$35</c:f>
              <c:strCache>
                <c:ptCount val="1"/>
                <c:pt idx="0">
                  <c:v>Diutina catenulata (C. catenulata)</c:v>
                </c:pt>
              </c:strCache>
            </c:strRef>
          </c:tx>
          <c:spPr>
            <a:solidFill>
              <a:schemeClr val="tx2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elete val="1"/>
          </c:dLbls>
          <c:cat>
            <c:strRef>
              <c:f>'figures-Figure4'!$A$36:$A$43</c:f>
              <c:strCache>
                <c:ptCount val="8"/>
                <c:pt idx="0">
                  <c:v>ICU (adult)</c:v>
                </c:pt>
                <c:pt idx="1">
                  <c:v>ICU (neonatal)</c:v>
                </c:pt>
                <c:pt idx="2">
                  <c:v>ICU (coronary)</c:v>
                </c:pt>
                <c:pt idx="3">
                  <c:v>Emergency department</c:v>
                </c:pt>
                <c:pt idx="4">
                  <c:v>Hospitalization</c:v>
                </c:pt>
                <c:pt idx="5">
                  <c:v>Surgery</c:v>
                </c:pt>
                <c:pt idx="6">
                  <c:v>Outpatient clinic</c:v>
                </c:pt>
                <c:pt idx="7">
                  <c:v>ND</c:v>
                </c:pt>
              </c:strCache>
            </c:strRef>
          </c:cat>
          <c:val>
            <c:numRef>
              <c:f>'figures-Figure4'!$I$36:$I$43</c:f>
              <c:numCache>
                <c:formatCode>0.00</c:formatCode>
                <c:ptCount val="8"/>
                <c:pt idx="7">
                  <c:v>0.95238095238095244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206-41C8-A53D-892EAE94D388}"/>
            </c:ext>
          </c:extLst>
        </c:ser>
        <c:ser>
          <c:idx val="6"/>
          <c:order val="4"/>
          <c:tx>
            <c:strRef>
              <c:f>'figures-Figure4'!$H$35</c:f>
              <c:strCache>
                <c:ptCount val="1"/>
                <c:pt idx="0">
                  <c:v>Debaryomyces hansenii (C. famata)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206-41C8-A53D-892EAE94D38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'figures-Figure4'!$A$36:$A$43</c:f>
              <c:strCache>
                <c:ptCount val="8"/>
                <c:pt idx="0">
                  <c:v>ICU (adult)</c:v>
                </c:pt>
                <c:pt idx="1">
                  <c:v>ICU (neonatal)</c:v>
                </c:pt>
                <c:pt idx="2">
                  <c:v>ICU (coronary)</c:v>
                </c:pt>
                <c:pt idx="3">
                  <c:v>Emergency department</c:v>
                </c:pt>
                <c:pt idx="4">
                  <c:v>Hospitalization</c:v>
                </c:pt>
                <c:pt idx="5">
                  <c:v>Surgery</c:v>
                </c:pt>
                <c:pt idx="6">
                  <c:v>Outpatient clinic</c:v>
                </c:pt>
                <c:pt idx="7">
                  <c:v>ND</c:v>
                </c:pt>
              </c:strCache>
            </c:strRef>
          </c:cat>
          <c:val>
            <c:numRef>
              <c:f>'figures-Figure4'!$H$36:$H$43</c:f>
              <c:numCache>
                <c:formatCode>0.00</c:formatCode>
                <c:ptCount val="8"/>
                <c:pt idx="3">
                  <c:v>2.5641025641025639</c:v>
                </c:pt>
                <c:pt idx="7">
                  <c:v>0.95238095238095244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206-41C8-A53D-892EAE94D388}"/>
            </c:ext>
          </c:extLst>
        </c:ser>
        <c:ser>
          <c:idx val="1"/>
          <c:order val="5"/>
          <c:tx>
            <c:strRef>
              <c:f>'figures-Figure4'!$C$35</c:f>
              <c:strCache>
                <c:ptCount val="1"/>
                <c:pt idx="0">
                  <c:v>Candida dubliniensis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'figures-Figure4'!$A$36:$A$43</c:f>
              <c:strCache>
                <c:ptCount val="8"/>
                <c:pt idx="0">
                  <c:v>ICU (adult)</c:v>
                </c:pt>
                <c:pt idx="1">
                  <c:v>ICU (neonatal)</c:v>
                </c:pt>
                <c:pt idx="2">
                  <c:v>ICU (coronary)</c:v>
                </c:pt>
                <c:pt idx="3">
                  <c:v>Emergency department</c:v>
                </c:pt>
                <c:pt idx="4">
                  <c:v>Hospitalization</c:v>
                </c:pt>
                <c:pt idx="5">
                  <c:v>Surgery</c:v>
                </c:pt>
                <c:pt idx="6">
                  <c:v>Outpatient clinic</c:v>
                </c:pt>
                <c:pt idx="7">
                  <c:v>ND</c:v>
                </c:pt>
              </c:strCache>
            </c:strRef>
          </c:cat>
          <c:val>
            <c:numRef>
              <c:f>'figures-Figure4'!$C$36:$C$43</c:f>
              <c:numCache>
                <c:formatCode>0.00</c:formatCode>
                <c:ptCount val="8"/>
                <c:pt idx="3">
                  <c:v>5.1282051282051277</c:v>
                </c:pt>
                <c:pt idx="4">
                  <c:v>6.25</c:v>
                </c:pt>
                <c:pt idx="7">
                  <c:v>1.9047619047619049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206-41C8-A53D-892EAE94D388}"/>
            </c:ext>
          </c:extLst>
        </c:ser>
        <c:ser>
          <c:idx val="5"/>
          <c:order val="6"/>
          <c:tx>
            <c:strRef>
              <c:f>'figures-Figure4'!$G$35</c:f>
              <c:strCache>
                <c:ptCount val="1"/>
                <c:pt idx="0">
                  <c:v>Candidozyma haemuli (Candida haemulonii)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elete val="1"/>
          </c:dLbls>
          <c:cat>
            <c:strRef>
              <c:f>'figures-Figure4'!$A$36:$A$43</c:f>
              <c:strCache>
                <c:ptCount val="8"/>
                <c:pt idx="0">
                  <c:v>ICU (adult)</c:v>
                </c:pt>
                <c:pt idx="1">
                  <c:v>ICU (neonatal)</c:v>
                </c:pt>
                <c:pt idx="2">
                  <c:v>ICU (coronary)</c:v>
                </c:pt>
                <c:pt idx="3">
                  <c:v>Emergency department</c:v>
                </c:pt>
                <c:pt idx="4">
                  <c:v>Hospitalization</c:v>
                </c:pt>
                <c:pt idx="5">
                  <c:v>Surgery</c:v>
                </c:pt>
                <c:pt idx="6">
                  <c:v>Outpatient clinic</c:v>
                </c:pt>
                <c:pt idx="7">
                  <c:v>ND</c:v>
                </c:pt>
              </c:strCache>
            </c:strRef>
          </c:cat>
          <c:val>
            <c:numRef>
              <c:f>'figures-Figure4'!$G$36:$G$43</c:f>
              <c:numCache>
                <c:formatCode>0.00</c:formatCode>
                <c:ptCount val="8"/>
                <c:pt idx="6">
                  <c:v>1.2345679012345678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206-41C8-A53D-892EAE94D388}"/>
            </c:ext>
          </c:extLst>
        </c:ser>
        <c:ser>
          <c:idx val="11"/>
          <c:order val="7"/>
          <c:tx>
            <c:strRef>
              <c:f>'figures-Figure4'!$M$35</c:f>
              <c:strCache>
                <c:ptCount val="1"/>
                <c:pt idx="0">
                  <c:v>Pichia kudriavzevii (C. krusei)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elete val="1"/>
          </c:dLbls>
          <c:cat>
            <c:strRef>
              <c:f>'figures-Figure4'!$A$36:$A$43</c:f>
              <c:strCache>
                <c:ptCount val="8"/>
                <c:pt idx="0">
                  <c:v>ICU (adult)</c:v>
                </c:pt>
                <c:pt idx="1">
                  <c:v>ICU (neonatal)</c:v>
                </c:pt>
                <c:pt idx="2">
                  <c:v>ICU (coronary)</c:v>
                </c:pt>
                <c:pt idx="3">
                  <c:v>Emergency department</c:v>
                </c:pt>
                <c:pt idx="4">
                  <c:v>Hospitalization</c:v>
                </c:pt>
                <c:pt idx="5">
                  <c:v>Surgery</c:v>
                </c:pt>
                <c:pt idx="6">
                  <c:v>Outpatient clinic</c:v>
                </c:pt>
                <c:pt idx="7">
                  <c:v>ND</c:v>
                </c:pt>
              </c:strCache>
            </c:strRef>
          </c:cat>
          <c:val>
            <c:numRef>
              <c:f>'figures-Figure4'!$M$36:$M$43</c:f>
              <c:numCache>
                <c:formatCode>0.00</c:formatCode>
                <c:ptCount val="8"/>
                <c:pt idx="7">
                  <c:v>1.9047619047619049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206-41C8-A53D-892EAE94D388}"/>
            </c:ext>
          </c:extLst>
        </c:ser>
        <c:ser>
          <c:idx val="10"/>
          <c:order val="8"/>
          <c:tx>
            <c:strRef>
              <c:f>'figures-Figure4'!$L$35</c:f>
              <c:strCache>
                <c:ptCount val="1"/>
                <c:pt idx="0">
                  <c:v>Nakaseomyces glabratus (C. glabrata)</c:v>
                </c:pt>
              </c:strCache>
            </c:strRef>
          </c:tx>
          <c:spPr>
            <a:solidFill>
              <a:srgbClr val="FFFF00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206-41C8-A53D-892EAE94D38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'figures-Figure4'!$A$36:$A$43</c:f>
              <c:strCache>
                <c:ptCount val="8"/>
                <c:pt idx="0">
                  <c:v>ICU (adult)</c:v>
                </c:pt>
                <c:pt idx="1">
                  <c:v>ICU (neonatal)</c:v>
                </c:pt>
                <c:pt idx="2">
                  <c:v>ICU (coronary)</c:v>
                </c:pt>
                <c:pt idx="3">
                  <c:v>Emergency department</c:v>
                </c:pt>
                <c:pt idx="4">
                  <c:v>Hospitalization</c:v>
                </c:pt>
                <c:pt idx="5">
                  <c:v>Surgery</c:v>
                </c:pt>
                <c:pt idx="6">
                  <c:v>Outpatient clinic</c:v>
                </c:pt>
                <c:pt idx="7">
                  <c:v>ND</c:v>
                </c:pt>
              </c:strCache>
            </c:strRef>
          </c:cat>
          <c:val>
            <c:numRef>
              <c:f>'figures-Figure4'!$L$36:$L$43</c:f>
              <c:numCache>
                <c:formatCode>0.00</c:formatCode>
                <c:ptCount val="8"/>
                <c:pt idx="0">
                  <c:v>10</c:v>
                </c:pt>
                <c:pt idx="2">
                  <c:v>16.666666666666664</c:v>
                </c:pt>
                <c:pt idx="3">
                  <c:v>17.948717948717949</c:v>
                </c:pt>
                <c:pt idx="4">
                  <c:v>15.625</c:v>
                </c:pt>
                <c:pt idx="6">
                  <c:v>1.2345679012345678</c:v>
                </c:pt>
                <c:pt idx="7">
                  <c:v>0.95238095238095244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206-41C8-A53D-892EAE94D388}"/>
            </c:ext>
          </c:extLst>
        </c:ser>
        <c:ser>
          <c:idx val="2"/>
          <c:order val="9"/>
          <c:tx>
            <c:strRef>
              <c:f>'figures-Figure4'!$D$35</c:f>
              <c:strCache>
                <c:ptCount val="1"/>
                <c:pt idx="0">
                  <c:v>Candida parapsilosis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'figures-Figure4'!$A$36:$A$43</c:f>
              <c:strCache>
                <c:ptCount val="8"/>
                <c:pt idx="0">
                  <c:v>ICU (adult)</c:v>
                </c:pt>
                <c:pt idx="1">
                  <c:v>ICU (neonatal)</c:v>
                </c:pt>
                <c:pt idx="2">
                  <c:v>ICU (coronary)</c:v>
                </c:pt>
                <c:pt idx="3">
                  <c:v>Emergency department</c:v>
                </c:pt>
                <c:pt idx="4">
                  <c:v>Hospitalization</c:v>
                </c:pt>
                <c:pt idx="5">
                  <c:v>Surgery</c:v>
                </c:pt>
                <c:pt idx="6">
                  <c:v>Outpatient clinic</c:v>
                </c:pt>
                <c:pt idx="7">
                  <c:v>ND</c:v>
                </c:pt>
              </c:strCache>
            </c:strRef>
          </c:cat>
          <c:val>
            <c:numRef>
              <c:f>'figures-Figure4'!$D$36:$D$43</c:f>
              <c:numCache>
                <c:formatCode>0.00</c:formatCode>
                <c:ptCount val="8"/>
                <c:pt idx="0">
                  <c:v>13.333333333333334</c:v>
                </c:pt>
                <c:pt idx="1">
                  <c:v>100</c:v>
                </c:pt>
                <c:pt idx="3">
                  <c:v>2.5641025641025639</c:v>
                </c:pt>
                <c:pt idx="4">
                  <c:v>9.375</c:v>
                </c:pt>
                <c:pt idx="5">
                  <c:v>16.666666666666664</c:v>
                </c:pt>
                <c:pt idx="6">
                  <c:v>18.518518518518519</c:v>
                </c:pt>
                <c:pt idx="7">
                  <c:v>23.809523809523807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206-41C8-A53D-892EAE94D388}"/>
            </c:ext>
          </c:extLst>
        </c:ser>
        <c:ser>
          <c:idx val="3"/>
          <c:order val="10"/>
          <c:tx>
            <c:strRef>
              <c:f>'figures-Figure4'!$E$35</c:f>
              <c:strCache>
                <c:ptCount val="1"/>
                <c:pt idx="0">
                  <c:v>Candida tropicalis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'figures-Figure4'!$A$36:$A$43</c:f>
              <c:strCache>
                <c:ptCount val="8"/>
                <c:pt idx="0">
                  <c:v>ICU (adult)</c:v>
                </c:pt>
                <c:pt idx="1">
                  <c:v>ICU (neonatal)</c:v>
                </c:pt>
                <c:pt idx="2">
                  <c:v>ICU (coronary)</c:v>
                </c:pt>
                <c:pt idx="3">
                  <c:v>Emergency department</c:v>
                </c:pt>
                <c:pt idx="4">
                  <c:v>Hospitalization</c:v>
                </c:pt>
                <c:pt idx="5">
                  <c:v>Surgery</c:v>
                </c:pt>
                <c:pt idx="6">
                  <c:v>Outpatient clinic</c:v>
                </c:pt>
                <c:pt idx="7">
                  <c:v>ND</c:v>
                </c:pt>
              </c:strCache>
            </c:strRef>
          </c:cat>
          <c:val>
            <c:numRef>
              <c:f>'figures-Figure4'!$E$36:$E$43</c:f>
              <c:numCache>
                <c:formatCode>0.00</c:formatCode>
                <c:ptCount val="8"/>
                <c:pt idx="0">
                  <c:v>26.666666666666668</c:v>
                </c:pt>
                <c:pt idx="2">
                  <c:v>16.666666666666664</c:v>
                </c:pt>
                <c:pt idx="3">
                  <c:v>10.256410256410255</c:v>
                </c:pt>
                <c:pt idx="4">
                  <c:v>25</c:v>
                </c:pt>
                <c:pt idx="5">
                  <c:v>50</c:v>
                </c:pt>
                <c:pt idx="6">
                  <c:v>11.111111111111111</c:v>
                </c:pt>
                <c:pt idx="7">
                  <c:v>2.8571428571428572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8206-41C8-A53D-892EAE94D388}"/>
            </c:ext>
          </c:extLst>
        </c:ser>
        <c:ser>
          <c:idx val="4"/>
          <c:order val="11"/>
          <c:tx>
            <c:strRef>
              <c:f>'figures-Figure4'!$F$35</c:f>
              <c:strCache>
                <c:ptCount val="1"/>
                <c:pt idx="0">
                  <c:v>Candidozyma auris (Candida auris)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'figures-Figure4'!$A$36:$A$43</c:f>
              <c:strCache>
                <c:ptCount val="8"/>
                <c:pt idx="0">
                  <c:v>ICU (adult)</c:v>
                </c:pt>
                <c:pt idx="1">
                  <c:v>ICU (neonatal)</c:v>
                </c:pt>
                <c:pt idx="2">
                  <c:v>ICU (coronary)</c:v>
                </c:pt>
                <c:pt idx="3">
                  <c:v>Emergency department</c:v>
                </c:pt>
                <c:pt idx="4">
                  <c:v>Hospitalization</c:v>
                </c:pt>
                <c:pt idx="5">
                  <c:v>Surgery</c:v>
                </c:pt>
                <c:pt idx="6">
                  <c:v>Outpatient clinic</c:v>
                </c:pt>
                <c:pt idx="7">
                  <c:v>ND</c:v>
                </c:pt>
              </c:strCache>
            </c:strRef>
          </c:cat>
          <c:val>
            <c:numRef>
              <c:f>'figures-Figure4'!$F$36:$F$43</c:f>
              <c:numCache>
                <c:formatCode>0.00</c:formatCode>
                <c:ptCount val="8"/>
                <c:pt idx="6">
                  <c:v>1.2345679012345678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206-41C8-A53D-892EAE94D388}"/>
            </c:ext>
          </c:extLst>
        </c:ser>
        <c:ser>
          <c:idx val="0"/>
          <c:order val="12"/>
          <c:tx>
            <c:strRef>
              <c:f>'figures-Figure4'!$B$35</c:f>
              <c:strCache>
                <c:ptCount val="1"/>
                <c:pt idx="0">
                  <c:v>Candida albicans</c:v>
                </c:pt>
              </c:strCache>
            </c:strRef>
          </c:tx>
          <c:spPr>
            <a:solidFill>
              <a:srgbClr val="92D050"/>
            </a:solidFill>
            <a:ln w="9525"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'figures-Figure4'!$A$36:$A$43</c:f>
              <c:strCache>
                <c:ptCount val="8"/>
                <c:pt idx="0">
                  <c:v>ICU (adult)</c:v>
                </c:pt>
                <c:pt idx="1">
                  <c:v>ICU (neonatal)</c:v>
                </c:pt>
                <c:pt idx="2">
                  <c:v>ICU (coronary)</c:v>
                </c:pt>
                <c:pt idx="3">
                  <c:v>Emergency department</c:v>
                </c:pt>
                <c:pt idx="4">
                  <c:v>Hospitalization</c:v>
                </c:pt>
                <c:pt idx="5">
                  <c:v>Surgery</c:v>
                </c:pt>
                <c:pt idx="6">
                  <c:v>Outpatient clinic</c:v>
                </c:pt>
                <c:pt idx="7">
                  <c:v>ND</c:v>
                </c:pt>
              </c:strCache>
            </c:strRef>
          </c:cat>
          <c:val>
            <c:numRef>
              <c:f>'figures-Figure4'!$B$36:$B$43</c:f>
              <c:numCache>
                <c:formatCode>0.00</c:formatCode>
                <c:ptCount val="8"/>
                <c:pt idx="0">
                  <c:v>43.333333333333336</c:v>
                </c:pt>
                <c:pt idx="2">
                  <c:v>61.111111111111114</c:v>
                </c:pt>
                <c:pt idx="3">
                  <c:v>61.53846153846154</c:v>
                </c:pt>
                <c:pt idx="4">
                  <c:v>43.75</c:v>
                </c:pt>
                <c:pt idx="5">
                  <c:v>33.333333333333329</c:v>
                </c:pt>
                <c:pt idx="6">
                  <c:v>64.197530864197532</c:v>
                </c:pt>
                <c:pt idx="7">
                  <c:v>65.714285714285708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8206-41C8-A53D-892EAE94D38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1256659824"/>
        <c:axId val="1256658864"/>
      </c:barChart>
      <c:catAx>
        <c:axId val="12566598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s-CO" b="1"/>
                  <a:t>Hospital unit / Service</a:t>
                </a:r>
              </a:p>
            </c:rich>
          </c:tx>
          <c:layout>
            <c:manualLayout>
              <c:xMode val="edge"/>
              <c:yMode val="edge"/>
              <c:x val="0.38550301065308018"/>
              <c:y val="0.9627627957675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s-CO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CO"/>
          </a:p>
        </c:txPr>
        <c:crossAx val="1256658864"/>
        <c:crosses val="autoZero"/>
        <c:auto val="1"/>
        <c:lblAlgn val="ctr"/>
        <c:lblOffset val="100"/>
        <c:noMultiLvlLbl val="0"/>
      </c:catAx>
      <c:valAx>
        <c:axId val="1256658864"/>
        <c:scaling>
          <c:orientation val="minMax"/>
          <c:max val="1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s-CO" sz="1400" b="1"/>
                  <a:t>Porcentage of cases</a:t>
                </a:r>
              </a:p>
            </c:rich>
          </c:tx>
          <c:layout>
            <c:manualLayout>
              <c:xMode val="edge"/>
              <c:yMode val="edge"/>
              <c:x val="5.1307092468100574E-3"/>
              <c:y val="0.1596755759490088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s-CO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CO"/>
          </a:p>
        </c:txPr>
        <c:crossAx val="1256659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4356861863496539"/>
          <c:y val="6.6551102601916295E-2"/>
          <c:w val="0.35255317755102134"/>
          <c:h val="0.671171173761016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1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657180675049637E-2"/>
          <c:y val="3.5767156946862555E-2"/>
          <c:w val="0.88259660130174"/>
          <c:h val="0.82852630251064152"/>
        </c:manualLayout>
      </c:layout>
      <c:barChart>
        <c:barDir val="col"/>
        <c:grouping val="stacked"/>
        <c:varyColors val="0"/>
        <c:ser>
          <c:idx val="8"/>
          <c:order val="0"/>
          <c:tx>
            <c:strRef>
              <c:f>'figures-Figure4'!$J$4</c:f>
              <c:strCache>
                <c:ptCount val="1"/>
                <c:pt idx="0">
                  <c:v>Wickerhamomyces anomalus (C. pelliculosa)</c:v>
                </c:pt>
              </c:strCache>
            </c:strRef>
          </c:tx>
          <c:spPr>
            <a:solidFill>
              <a:srgbClr val="00B0F0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elete val="1"/>
          </c:dLbls>
          <c:cat>
            <c:numRef>
              <c:f>'figures-Figure4'!$A$5:$A$15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'figures-Figure4'!$J$5:$J$15</c:f>
              <c:numCache>
                <c:formatCode>0.00</c:formatCode>
                <c:ptCount val="11"/>
                <c:pt idx="4">
                  <c:v>10</c:v>
                </c:pt>
                <c:pt idx="9">
                  <c:v>1.4705882352941175</c:v>
                </c:pt>
                <c:pt idx="10">
                  <c:v>2.1505376344086025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5F-45F4-B211-B2528A86E587}"/>
            </c:ext>
          </c:extLst>
        </c:ser>
        <c:ser>
          <c:idx val="1"/>
          <c:order val="1"/>
          <c:tx>
            <c:strRef>
              <c:f>'figures-Figure4'!$C$4</c:f>
              <c:strCache>
                <c:ptCount val="1"/>
                <c:pt idx="0">
                  <c:v>Metschnikowia pulcherrima (C. pulcherrima)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elete val="1"/>
          </c:dLbls>
          <c:cat>
            <c:numRef>
              <c:f>'figures-Figure4'!$A$5:$A$15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'figures-Figure4'!$C$5:$C$15</c:f>
              <c:numCache>
                <c:formatCode>0.00</c:formatCode>
                <c:ptCount val="11"/>
                <c:pt idx="10">
                  <c:v>1.0752688172043012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5F-45F4-B211-B2528A86E587}"/>
            </c:ext>
          </c:extLst>
        </c:ser>
        <c:ser>
          <c:idx val="5"/>
          <c:order val="2"/>
          <c:tx>
            <c:strRef>
              <c:f>'figures-Figure4'!$G$4</c:f>
              <c:strCache>
                <c:ptCount val="1"/>
                <c:pt idx="0">
                  <c:v>Meyerozyma guilliermondii (C. guilliermondii)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elete val="1"/>
          </c:dLbls>
          <c:cat>
            <c:numRef>
              <c:f>'figures-Figure4'!$A$5:$A$15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'figures-Figure4'!$G$5:$G$15</c:f>
              <c:numCache>
                <c:formatCode>0.00</c:formatCode>
                <c:ptCount val="11"/>
                <c:pt idx="8">
                  <c:v>2.5641025641025639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5F-45F4-B211-B2528A86E587}"/>
            </c:ext>
          </c:extLst>
        </c:ser>
        <c:ser>
          <c:idx val="0"/>
          <c:order val="3"/>
          <c:tx>
            <c:strRef>
              <c:f>'figures-Figure4'!$B$4</c:f>
              <c:strCache>
                <c:ptCount val="1"/>
                <c:pt idx="0">
                  <c:v>Diutina catenulata (C. catenulata)</c:v>
                </c:pt>
              </c:strCache>
            </c:strRef>
          </c:tx>
          <c:spPr>
            <a:solidFill>
              <a:schemeClr val="tx2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elete val="1"/>
          </c:dLbls>
          <c:cat>
            <c:numRef>
              <c:f>'figures-Figure4'!$A$5:$A$15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'figures-Figure4'!$B$5:$B$15</c:f>
              <c:numCache>
                <c:formatCode>0.00</c:formatCode>
                <c:ptCount val="11"/>
                <c:pt idx="5">
                  <c:v>1.5873015873015872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B5F-45F4-B211-B2528A86E587}"/>
            </c:ext>
          </c:extLst>
        </c:ser>
        <c:ser>
          <c:idx val="4"/>
          <c:order val="4"/>
          <c:tx>
            <c:strRef>
              <c:f>'figures-Figure4'!$F$4</c:f>
              <c:strCache>
                <c:ptCount val="1"/>
                <c:pt idx="0">
                  <c:v>Debaryomyces hansenii (C. famata)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elete val="1"/>
          </c:dLbls>
          <c:cat>
            <c:numRef>
              <c:f>'figures-Figure4'!$A$5:$A$15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'figures-Figure4'!$F$5:$F$15</c:f>
              <c:numCache>
                <c:formatCode>0.00</c:formatCode>
                <c:ptCount val="11"/>
                <c:pt idx="5">
                  <c:v>1.5873015873015872</c:v>
                </c:pt>
                <c:pt idx="8">
                  <c:v>2.5641025641025639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B5F-45F4-B211-B2528A86E587}"/>
            </c:ext>
          </c:extLst>
        </c:ser>
        <c:ser>
          <c:idx val="9"/>
          <c:order val="5"/>
          <c:tx>
            <c:strRef>
              <c:f>'figures-Figure4'!$K$4</c:f>
              <c:strCache>
                <c:ptCount val="1"/>
                <c:pt idx="0">
                  <c:v>Candida dubliniensis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elete val="1"/>
          </c:dLbls>
          <c:cat>
            <c:numRef>
              <c:f>'figures-Figure4'!$A$5:$A$15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'figures-Figure4'!$K$5:$K$15</c:f>
              <c:numCache>
                <c:formatCode>0.00</c:formatCode>
                <c:ptCount val="11"/>
                <c:pt idx="6">
                  <c:v>15.384615384615385</c:v>
                </c:pt>
                <c:pt idx="8">
                  <c:v>2.5641025641025639</c:v>
                </c:pt>
                <c:pt idx="9">
                  <c:v>1.4705882352941175</c:v>
                </c:pt>
                <c:pt idx="10">
                  <c:v>2.1505376344086025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B5F-45F4-B211-B2528A86E587}"/>
            </c:ext>
          </c:extLst>
        </c:ser>
        <c:ser>
          <c:idx val="2"/>
          <c:order val="6"/>
          <c:tx>
            <c:strRef>
              <c:f>'figures-Figure4'!$D$4</c:f>
              <c:strCache>
                <c:ptCount val="1"/>
                <c:pt idx="0">
                  <c:v>Candidozyma haemuli (Candida haemulonii)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elete val="1"/>
          </c:dLbls>
          <c:cat>
            <c:numRef>
              <c:f>'figures-Figure4'!$A$5:$A$15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'figures-Figure4'!$D$5:$D$15</c:f>
              <c:numCache>
                <c:formatCode>0.00</c:formatCode>
                <c:ptCount val="11"/>
                <c:pt idx="9">
                  <c:v>1.4705882352941175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B5F-45F4-B211-B2528A86E587}"/>
            </c:ext>
          </c:extLst>
        </c:ser>
        <c:ser>
          <c:idx val="6"/>
          <c:order val="7"/>
          <c:tx>
            <c:strRef>
              <c:f>'figures-Figure4'!$H$4</c:f>
              <c:strCache>
                <c:ptCount val="1"/>
                <c:pt idx="0">
                  <c:v>Pichia kudriavzevii (C. krusei)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'figures-Figure4'!$A$5:$A$15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'figures-Figure4'!$H$5:$H$15</c:f>
              <c:numCache>
                <c:formatCode>0.00</c:formatCode>
                <c:ptCount val="11"/>
                <c:pt idx="7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B5F-45F4-B211-B2528A86E587}"/>
            </c:ext>
          </c:extLst>
        </c:ser>
        <c:ser>
          <c:idx val="10"/>
          <c:order val="8"/>
          <c:tx>
            <c:strRef>
              <c:f>'figures-Figure4'!$L$4</c:f>
              <c:strCache>
                <c:ptCount val="1"/>
                <c:pt idx="0">
                  <c:v>Nakaseomyces glabratus (C. glabrata)</c:v>
                </c:pt>
              </c:strCache>
            </c:strRef>
          </c:tx>
          <c:spPr>
            <a:solidFill>
              <a:srgbClr val="FFFF00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elete val="1"/>
          </c:dLbls>
          <c:cat>
            <c:numRef>
              <c:f>'figures-Figure4'!$A$5:$A$15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'figures-Figure4'!$L$5:$L$15</c:f>
              <c:numCache>
                <c:formatCode>0.00</c:formatCode>
                <c:ptCount val="11"/>
                <c:pt idx="5">
                  <c:v>1.5873015873015872</c:v>
                </c:pt>
                <c:pt idx="8">
                  <c:v>15.384615384615385</c:v>
                </c:pt>
                <c:pt idx="9">
                  <c:v>4.4117647058823533</c:v>
                </c:pt>
                <c:pt idx="10">
                  <c:v>10.75268817204301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B5F-45F4-B211-B2528A86E587}"/>
            </c:ext>
          </c:extLst>
        </c:ser>
        <c:ser>
          <c:idx val="12"/>
          <c:order val="9"/>
          <c:tx>
            <c:strRef>
              <c:f>'figures-Figure4'!$N$4</c:f>
              <c:strCache>
                <c:ptCount val="1"/>
                <c:pt idx="0">
                  <c:v>Candida parapsilosis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'figures-Figure4'!$A$5:$A$15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'figures-Figure4'!$N$5:$N$15</c:f>
              <c:numCache>
                <c:formatCode>0.00</c:formatCode>
                <c:ptCount val="11"/>
                <c:pt idx="1">
                  <c:v>71.428571428571431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  <c:pt idx="5">
                  <c:v>22.222222222222221</c:v>
                </c:pt>
                <c:pt idx="6">
                  <c:v>7.6923076923076925</c:v>
                </c:pt>
                <c:pt idx="8">
                  <c:v>20.512820512820511</c:v>
                </c:pt>
                <c:pt idx="9">
                  <c:v>13.23529411764706</c:v>
                </c:pt>
                <c:pt idx="10">
                  <c:v>10.75268817204301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B5F-45F4-B211-B2528A86E587}"/>
            </c:ext>
          </c:extLst>
        </c:ser>
        <c:ser>
          <c:idx val="11"/>
          <c:order val="10"/>
          <c:tx>
            <c:strRef>
              <c:f>'figures-Figure4'!$M$4</c:f>
              <c:strCache>
                <c:ptCount val="1"/>
                <c:pt idx="0">
                  <c:v>Candida tropicalis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'figures-Figure4'!$A$5:$A$15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'figures-Figure4'!$M$5:$M$15</c:f>
              <c:numCache>
                <c:formatCode>0.00</c:formatCode>
                <c:ptCount val="11"/>
                <c:pt idx="4">
                  <c:v>10</c:v>
                </c:pt>
                <c:pt idx="5">
                  <c:v>4.7619047619047619</c:v>
                </c:pt>
                <c:pt idx="8">
                  <c:v>17.948717948717949</c:v>
                </c:pt>
                <c:pt idx="9">
                  <c:v>17.647058823529413</c:v>
                </c:pt>
                <c:pt idx="10">
                  <c:v>16.129032258064516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B5F-45F4-B211-B2528A86E587}"/>
            </c:ext>
          </c:extLst>
        </c:ser>
        <c:ser>
          <c:idx val="7"/>
          <c:order val="11"/>
          <c:tx>
            <c:strRef>
              <c:f>'figures-Figure4'!$I$4</c:f>
              <c:strCache>
                <c:ptCount val="1"/>
                <c:pt idx="0">
                  <c:v>Candidozyma auris (Candida auris)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'figures-Figure4'!$A$5:$A$15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'figures-Figure4'!$I$5:$I$15</c:f>
              <c:numCache>
                <c:formatCode>General</c:formatCode>
                <c:ptCount val="11"/>
                <c:pt idx="9" formatCode="0.00">
                  <c:v>1.4705882352941175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B5F-45F4-B211-B2528A86E587}"/>
            </c:ext>
          </c:extLst>
        </c:ser>
        <c:ser>
          <c:idx val="13"/>
          <c:order val="12"/>
          <c:tx>
            <c:strRef>
              <c:f>'figures-Figure4'!$O$4</c:f>
              <c:strCache>
                <c:ptCount val="1"/>
                <c:pt idx="0">
                  <c:v>Candida albicans</c:v>
                </c:pt>
              </c:strCache>
            </c:strRef>
          </c:tx>
          <c:spPr>
            <a:solidFill>
              <a:srgbClr val="92D050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'figures-Figure4'!$A$5:$A$15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'figures-Figure4'!$O$5:$O$15</c:f>
              <c:numCache>
                <c:formatCode>0.00</c:formatCode>
                <c:ptCount val="11"/>
                <c:pt idx="0">
                  <c:v>100</c:v>
                </c:pt>
                <c:pt idx="1">
                  <c:v>28.571428571428569</c:v>
                </c:pt>
                <c:pt idx="2">
                  <c:v>90</c:v>
                </c:pt>
                <c:pt idx="3">
                  <c:v>80</c:v>
                </c:pt>
                <c:pt idx="4">
                  <c:v>50</c:v>
                </c:pt>
                <c:pt idx="5">
                  <c:v>68.253968253968253</c:v>
                </c:pt>
                <c:pt idx="6">
                  <c:v>76.923076923076934</c:v>
                </c:pt>
                <c:pt idx="7">
                  <c:v>50</c:v>
                </c:pt>
                <c:pt idx="8">
                  <c:v>38.461538461538467</c:v>
                </c:pt>
                <c:pt idx="9">
                  <c:v>58.82352941176471</c:v>
                </c:pt>
                <c:pt idx="10">
                  <c:v>56.98924731182796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B5F-45F4-B211-B2528A86E58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0"/>
        <c:overlap val="100"/>
        <c:axId val="1309795984"/>
        <c:axId val="1309796464"/>
      </c:barChart>
      <c:catAx>
        <c:axId val="1309795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s-CO" b="1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s-CO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CO"/>
          </a:p>
        </c:txPr>
        <c:crossAx val="1309796464"/>
        <c:crosses val="autoZero"/>
        <c:auto val="1"/>
        <c:lblAlgn val="ctr"/>
        <c:lblOffset val="100"/>
        <c:noMultiLvlLbl val="0"/>
      </c:catAx>
      <c:valAx>
        <c:axId val="1309796464"/>
        <c:scaling>
          <c:orientation val="minMax"/>
          <c:max val="1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s-CO" b="1"/>
                  <a:t>Porcentage of cases</a:t>
                </a:r>
              </a:p>
            </c:rich>
          </c:tx>
          <c:layout>
            <c:manualLayout>
              <c:xMode val="edge"/>
              <c:yMode val="edge"/>
              <c:x val="2.2753568296525185E-2"/>
              <c:y val="0.2354298784950258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s-CO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CO"/>
          </a:p>
        </c:txPr>
        <c:crossAx val="1309795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957943</xdr:colOff>
      <xdr:row>54</xdr:row>
      <xdr:rowOff>157185</xdr:rowOff>
    </xdr:from>
    <xdr:to>
      <xdr:col>21</xdr:col>
      <xdr:colOff>494393</xdr:colOff>
      <xdr:row>87</xdr:row>
      <xdr:rowOff>140443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9E99A482-A3E9-4861-8D1A-0CB441CEC9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902607</xdr:colOff>
      <xdr:row>25</xdr:row>
      <xdr:rowOff>83209</xdr:rowOff>
    </xdr:from>
    <xdr:to>
      <xdr:col>23</xdr:col>
      <xdr:colOff>230909</xdr:colOff>
      <xdr:row>54</xdr:row>
      <xdr:rowOff>39666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44226893-D1EF-45C1-ABCC-46599B1125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776969</xdr:colOff>
      <xdr:row>2</xdr:row>
      <xdr:rowOff>61685</xdr:rowOff>
    </xdr:from>
    <xdr:to>
      <xdr:col>21</xdr:col>
      <xdr:colOff>345168</xdr:colOff>
      <xdr:row>25</xdr:row>
      <xdr:rowOff>70056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5BAB6E5A-A160-49A1-BEAC-5681CBFDDC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81387-0236-4E8F-A445-359236709FA2}">
  <dimension ref="A1:X77"/>
  <sheetViews>
    <sheetView tabSelected="1" zoomScale="50" zoomScaleNormal="50" zoomScaleSheetLayoutView="27" workbookViewId="0">
      <selection activeCell="A2" sqref="A2"/>
    </sheetView>
  </sheetViews>
  <sheetFormatPr baseColWidth="10" defaultRowHeight="14" x14ac:dyDescent="0.35"/>
  <cols>
    <col min="1" max="1" width="37.90625" style="2" bestFit="1" customWidth="1"/>
    <col min="2" max="2" width="30.54296875" style="2" bestFit="1" customWidth="1"/>
    <col min="3" max="3" width="39.36328125" style="2" bestFit="1" customWidth="1"/>
    <col min="4" max="4" width="43.90625" style="2" bestFit="1" customWidth="1"/>
    <col min="5" max="5" width="32.36328125" style="2" bestFit="1" customWidth="1"/>
    <col min="6" max="6" width="36.26953125" style="2" bestFit="1" customWidth="1"/>
    <col min="7" max="7" width="38.36328125" style="2" bestFit="1" customWidth="1"/>
    <col min="8" max="8" width="36.36328125" style="2" bestFit="1" customWidth="1"/>
    <col min="9" max="9" width="26.7265625" style="2" customWidth="1"/>
    <col min="10" max="10" width="45.36328125" style="2" bestFit="1" customWidth="1"/>
    <col min="11" max="11" width="44.54296875" style="2" bestFit="1" customWidth="1"/>
    <col min="12" max="12" width="38.90625" style="2" bestFit="1" customWidth="1"/>
    <col min="13" max="13" width="30.54296875" style="2" bestFit="1" customWidth="1"/>
    <col min="14" max="14" width="45.36328125" style="2" bestFit="1" customWidth="1"/>
    <col min="15" max="15" width="17.26953125" style="2" bestFit="1" customWidth="1"/>
    <col min="16" max="16" width="13.81640625" style="2" bestFit="1" customWidth="1"/>
    <col min="17" max="17" width="12.08984375" style="2" bestFit="1" customWidth="1"/>
    <col min="18" max="18" width="44.36328125" style="2" bestFit="1" customWidth="1"/>
    <col min="19" max="19" width="36.90625" style="2" bestFit="1" customWidth="1"/>
    <col min="20" max="20" width="30.453125" style="2" bestFit="1" customWidth="1"/>
    <col min="21" max="21" width="43.54296875" style="2" customWidth="1"/>
    <col min="22" max="23" width="11.7265625" style="2" bestFit="1" customWidth="1"/>
    <col min="24" max="24" width="32.81640625" style="2" bestFit="1" customWidth="1"/>
    <col min="25" max="274" width="22.90625" style="2" bestFit="1" customWidth="1"/>
    <col min="275" max="275" width="11.81640625" style="2" bestFit="1" customWidth="1"/>
    <col min="276" max="16384" width="10.90625" style="2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4" spans="1:16" x14ac:dyDescent="0.35">
      <c r="A4" s="3" t="s">
        <v>26</v>
      </c>
      <c r="B4" s="4" t="s">
        <v>14</v>
      </c>
      <c r="C4" s="4" t="s">
        <v>15</v>
      </c>
      <c r="D4" s="4" t="s">
        <v>5</v>
      </c>
      <c r="E4" s="4" t="s">
        <v>16</v>
      </c>
      <c r="F4" s="4" t="s">
        <v>17</v>
      </c>
      <c r="G4" s="4" t="s">
        <v>18</v>
      </c>
      <c r="H4" s="4" t="s">
        <v>19</v>
      </c>
      <c r="I4" s="4" t="s">
        <v>4</v>
      </c>
      <c r="J4" s="4" t="s">
        <v>20</v>
      </c>
      <c r="K4" s="4" t="s">
        <v>1</v>
      </c>
      <c r="L4" s="4" t="s">
        <v>24</v>
      </c>
      <c r="M4" s="3" t="s">
        <v>3</v>
      </c>
      <c r="N4" s="3" t="s">
        <v>2</v>
      </c>
      <c r="O4" s="3" t="s">
        <v>0</v>
      </c>
      <c r="P4" s="3" t="s">
        <v>12</v>
      </c>
    </row>
    <row r="5" spans="1:16" x14ac:dyDescent="0.3">
      <c r="A5" s="5">
        <v>2014</v>
      </c>
      <c r="B5" s="6"/>
      <c r="C5" s="6"/>
      <c r="D5" s="6"/>
      <c r="E5" s="6"/>
      <c r="F5" s="6"/>
      <c r="G5" s="6"/>
      <c r="H5" s="6"/>
      <c r="I5" s="7"/>
      <c r="J5" s="6"/>
      <c r="K5" s="6"/>
      <c r="L5" s="6"/>
      <c r="M5" s="6"/>
      <c r="N5" s="6"/>
      <c r="O5" s="6">
        <v>100</v>
      </c>
      <c r="P5" s="6">
        <v>100</v>
      </c>
    </row>
    <row r="6" spans="1:16" x14ac:dyDescent="0.3">
      <c r="A6" s="5">
        <v>2015</v>
      </c>
      <c r="B6" s="6"/>
      <c r="C6" s="6"/>
      <c r="D6" s="6"/>
      <c r="E6" s="6"/>
      <c r="F6" s="6"/>
      <c r="G6" s="6"/>
      <c r="H6" s="6"/>
      <c r="I6" s="7"/>
      <c r="J6" s="6"/>
      <c r="K6" s="6"/>
      <c r="L6" s="6"/>
      <c r="M6" s="6"/>
      <c r="N6" s="6">
        <v>71.428571428571431</v>
      </c>
      <c r="O6" s="6">
        <v>28.571428571428569</v>
      </c>
      <c r="P6" s="6">
        <v>100</v>
      </c>
    </row>
    <row r="7" spans="1:16" x14ac:dyDescent="0.3">
      <c r="A7" s="5">
        <v>2016</v>
      </c>
      <c r="B7" s="6"/>
      <c r="C7" s="6"/>
      <c r="D7" s="6"/>
      <c r="E7" s="6"/>
      <c r="F7" s="6"/>
      <c r="G7" s="6"/>
      <c r="H7" s="6"/>
      <c r="I7" s="7"/>
      <c r="J7" s="6"/>
      <c r="K7" s="6"/>
      <c r="L7" s="6"/>
      <c r="M7" s="6"/>
      <c r="N7" s="6">
        <v>10</v>
      </c>
      <c r="O7" s="6">
        <v>90</v>
      </c>
      <c r="P7" s="6">
        <v>100</v>
      </c>
    </row>
    <row r="8" spans="1:16" x14ac:dyDescent="0.3">
      <c r="A8" s="5">
        <v>2017</v>
      </c>
      <c r="B8" s="6"/>
      <c r="C8" s="6"/>
      <c r="D8" s="6"/>
      <c r="E8" s="6"/>
      <c r="F8" s="6"/>
      <c r="G8" s="6"/>
      <c r="H8" s="6"/>
      <c r="I8" s="7"/>
      <c r="J8" s="6"/>
      <c r="K8" s="6"/>
      <c r="L8" s="6"/>
      <c r="M8" s="6"/>
      <c r="N8" s="6">
        <v>20</v>
      </c>
      <c r="O8" s="6">
        <v>80</v>
      </c>
      <c r="P8" s="6">
        <v>100</v>
      </c>
    </row>
    <row r="9" spans="1:16" x14ac:dyDescent="0.3">
      <c r="A9" s="5">
        <v>2018</v>
      </c>
      <c r="B9" s="6"/>
      <c r="C9" s="6"/>
      <c r="D9" s="6"/>
      <c r="E9" s="6"/>
      <c r="F9" s="6"/>
      <c r="G9" s="6"/>
      <c r="H9" s="6"/>
      <c r="I9" s="7"/>
      <c r="J9" s="6">
        <v>10</v>
      </c>
      <c r="K9" s="6"/>
      <c r="L9" s="6"/>
      <c r="M9" s="6">
        <v>10</v>
      </c>
      <c r="N9" s="6">
        <v>30</v>
      </c>
      <c r="O9" s="6">
        <v>50</v>
      </c>
      <c r="P9" s="6">
        <v>100</v>
      </c>
    </row>
    <row r="10" spans="1:16" x14ac:dyDescent="0.3">
      <c r="A10" s="5">
        <v>2019</v>
      </c>
      <c r="B10" s="6">
        <v>1.5873015873015872</v>
      </c>
      <c r="C10" s="6"/>
      <c r="D10" s="6"/>
      <c r="E10" s="6"/>
      <c r="F10" s="6">
        <v>1.5873015873015872</v>
      </c>
      <c r="G10" s="6"/>
      <c r="H10" s="6"/>
      <c r="I10" s="7"/>
      <c r="J10" s="6"/>
      <c r="K10" s="6"/>
      <c r="L10" s="6">
        <v>1.5873015873015872</v>
      </c>
      <c r="M10" s="6">
        <v>4.7619047619047619</v>
      </c>
      <c r="N10" s="6">
        <v>22.222222222222221</v>
      </c>
      <c r="O10" s="6">
        <v>68.253968253968253</v>
      </c>
      <c r="P10" s="6">
        <v>100</v>
      </c>
    </row>
    <row r="11" spans="1:16" x14ac:dyDescent="0.3">
      <c r="A11" s="5">
        <v>2020</v>
      </c>
      <c r="B11" s="6"/>
      <c r="C11" s="6"/>
      <c r="D11" s="6"/>
      <c r="E11" s="6"/>
      <c r="F11" s="6"/>
      <c r="G11" s="6"/>
      <c r="H11" s="6"/>
      <c r="I11" s="7"/>
      <c r="J11" s="6"/>
      <c r="K11" s="6">
        <v>15.384615384615385</v>
      </c>
      <c r="L11" s="6"/>
      <c r="M11" s="6"/>
      <c r="N11" s="6">
        <v>7.6923076923076925</v>
      </c>
      <c r="O11" s="6">
        <v>76.923076923076934</v>
      </c>
      <c r="P11" s="6">
        <v>100.00000000000001</v>
      </c>
    </row>
    <row r="12" spans="1:16" x14ac:dyDescent="0.3">
      <c r="A12" s="5">
        <v>2021</v>
      </c>
      <c r="B12" s="6"/>
      <c r="C12" s="6"/>
      <c r="D12" s="6"/>
      <c r="E12" s="6"/>
      <c r="F12" s="6"/>
      <c r="G12" s="6"/>
      <c r="H12" s="6">
        <v>50</v>
      </c>
      <c r="I12" s="7"/>
      <c r="J12" s="6"/>
      <c r="K12" s="6"/>
      <c r="L12" s="6"/>
      <c r="M12" s="6"/>
      <c r="N12" s="6"/>
      <c r="O12" s="6">
        <v>50</v>
      </c>
      <c r="P12" s="6">
        <v>100</v>
      </c>
    </row>
    <row r="13" spans="1:16" x14ac:dyDescent="0.3">
      <c r="A13" s="5">
        <v>2022</v>
      </c>
      <c r="B13" s="6"/>
      <c r="C13" s="6"/>
      <c r="D13" s="6"/>
      <c r="E13" s="6"/>
      <c r="F13" s="6">
        <v>2.5641025641025639</v>
      </c>
      <c r="G13" s="6">
        <v>2.5641025641025639</v>
      </c>
      <c r="H13" s="6"/>
      <c r="I13" s="7"/>
      <c r="J13" s="6"/>
      <c r="K13" s="6">
        <v>2.5641025641025639</v>
      </c>
      <c r="L13" s="6">
        <v>15.384615384615385</v>
      </c>
      <c r="M13" s="6">
        <v>17.948717948717949</v>
      </c>
      <c r="N13" s="6">
        <v>20.512820512820511</v>
      </c>
      <c r="O13" s="6">
        <v>38.461538461538467</v>
      </c>
      <c r="P13" s="6">
        <v>100</v>
      </c>
    </row>
    <row r="14" spans="1:16" x14ac:dyDescent="0.35">
      <c r="A14" s="5">
        <v>2023</v>
      </c>
      <c r="B14" s="6"/>
      <c r="C14" s="6"/>
      <c r="D14" s="6">
        <v>1.4705882352941175</v>
      </c>
      <c r="E14" s="6"/>
      <c r="F14" s="6"/>
      <c r="G14" s="6"/>
      <c r="H14" s="6"/>
      <c r="I14" s="6">
        <v>1.4705882352941175</v>
      </c>
      <c r="J14" s="6">
        <v>1.4705882352941175</v>
      </c>
      <c r="K14" s="6">
        <v>1.4705882352941175</v>
      </c>
      <c r="L14" s="6">
        <v>4.4117647058823533</v>
      </c>
      <c r="M14" s="6">
        <v>17.647058823529413</v>
      </c>
      <c r="N14" s="6">
        <v>13.23529411764706</v>
      </c>
      <c r="O14" s="6">
        <v>58.82352941176471</v>
      </c>
      <c r="P14" s="6">
        <v>100</v>
      </c>
    </row>
    <row r="15" spans="1:16" x14ac:dyDescent="0.3">
      <c r="A15" s="5">
        <v>2024</v>
      </c>
      <c r="B15" s="6"/>
      <c r="C15" s="6">
        <v>1.0752688172043012</v>
      </c>
      <c r="D15" s="6"/>
      <c r="E15" s="6"/>
      <c r="F15" s="6"/>
      <c r="G15" s="6">
        <v>0</v>
      </c>
      <c r="H15" s="6"/>
      <c r="I15" s="7"/>
      <c r="J15" s="6">
        <v>2.1505376344086025</v>
      </c>
      <c r="K15" s="6">
        <v>2.1505376344086025</v>
      </c>
      <c r="L15" s="6">
        <v>10.75268817204301</v>
      </c>
      <c r="M15" s="6">
        <v>16.129032258064516</v>
      </c>
      <c r="N15" s="6">
        <v>10.75268817204301</v>
      </c>
      <c r="O15" s="6">
        <v>56.98924731182796</v>
      </c>
      <c r="P15" s="6">
        <v>100</v>
      </c>
    </row>
    <row r="16" spans="1:16" x14ac:dyDescent="0.35">
      <c r="A16" s="5" t="s">
        <v>27</v>
      </c>
      <c r="B16" s="6">
        <v>1.5873015873015872</v>
      </c>
      <c r="C16" s="6">
        <v>1.0752688172043012</v>
      </c>
      <c r="D16" s="6">
        <v>1.4705882352941175</v>
      </c>
      <c r="E16" s="6">
        <v>0</v>
      </c>
      <c r="F16" s="6">
        <v>4.1514041514041509</v>
      </c>
      <c r="G16" s="6">
        <v>3.6393713813068649</v>
      </c>
      <c r="H16" s="6">
        <v>50</v>
      </c>
      <c r="I16" s="6"/>
      <c r="J16" s="6">
        <v>13.62112586970272</v>
      </c>
      <c r="K16" s="6">
        <v>21.569843818420669</v>
      </c>
      <c r="L16" s="6">
        <v>34.286907484250932</v>
      </c>
      <c r="M16" s="6">
        <v>66.486713792216648</v>
      </c>
      <c r="N16" s="6">
        <v>205.84390414561193</v>
      </c>
      <c r="O16" s="6">
        <v>698.02278893360494</v>
      </c>
      <c r="P16" s="6">
        <v>1100</v>
      </c>
    </row>
    <row r="18" spans="1:23" x14ac:dyDescent="0.3">
      <c r="A18" s="1"/>
    </row>
    <row r="30" spans="1:23" x14ac:dyDescent="0.3">
      <c r="W30" s="1"/>
    </row>
    <row r="31" spans="1:23" x14ac:dyDescent="0.3">
      <c r="W31" s="1"/>
    </row>
    <row r="32" spans="1:23" x14ac:dyDescent="0.3">
      <c r="W32" s="1"/>
    </row>
    <row r="33" spans="1:23" x14ac:dyDescent="0.3">
      <c r="W33" s="1"/>
    </row>
    <row r="34" spans="1:23" x14ac:dyDescent="0.3">
      <c r="W34" s="1"/>
    </row>
    <row r="35" spans="1:23" x14ac:dyDescent="0.3">
      <c r="A35" s="3" t="s">
        <v>21</v>
      </c>
      <c r="B35" s="4" t="s">
        <v>0</v>
      </c>
      <c r="C35" s="4" t="s">
        <v>1</v>
      </c>
      <c r="D35" s="4" t="s">
        <v>2</v>
      </c>
      <c r="E35" s="4" t="s">
        <v>3</v>
      </c>
      <c r="F35" s="4" t="s">
        <v>4</v>
      </c>
      <c r="G35" s="4" t="s">
        <v>5</v>
      </c>
      <c r="H35" s="4" t="s">
        <v>17</v>
      </c>
      <c r="I35" s="4" t="s">
        <v>14</v>
      </c>
      <c r="J35" s="4" t="s">
        <v>15</v>
      </c>
      <c r="K35" s="4" t="s">
        <v>18</v>
      </c>
      <c r="L35" s="4" t="s">
        <v>24</v>
      </c>
      <c r="M35" s="4" t="s">
        <v>19</v>
      </c>
      <c r="N35" s="4" t="s">
        <v>20</v>
      </c>
      <c r="O35" s="4"/>
      <c r="P35" s="3" t="s">
        <v>12</v>
      </c>
      <c r="W35" s="1"/>
    </row>
    <row r="36" spans="1:23" x14ac:dyDescent="0.3">
      <c r="A36" s="5" t="s">
        <v>28</v>
      </c>
      <c r="B36" s="6">
        <v>43.333333333333336</v>
      </c>
      <c r="C36" s="6"/>
      <c r="D36" s="6">
        <v>13.333333333333334</v>
      </c>
      <c r="E36" s="6">
        <v>26.666666666666668</v>
      </c>
      <c r="F36" s="6"/>
      <c r="G36" s="6"/>
      <c r="H36" s="6"/>
      <c r="I36" s="6"/>
      <c r="J36" s="6"/>
      <c r="K36" s="6"/>
      <c r="L36" s="6">
        <v>10</v>
      </c>
      <c r="M36" s="6"/>
      <c r="N36" s="6">
        <v>6.666666666666667</v>
      </c>
      <c r="O36" s="6">
        <f t="shared" ref="O36:O44" si="0">SUM(B36:N36)</f>
        <v>100.00000000000001</v>
      </c>
      <c r="P36" s="6">
        <v>100.00000000000001</v>
      </c>
      <c r="W36" s="1"/>
    </row>
    <row r="37" spans="1:23" x14ac:dyDescent="0.3">
      <c r="A37" s="5" t="s">
        <v>29</v>
      </c>
      <c r="B37" s="6"/>
      <c r="C37" s="6"/>
      <c r="D37" s="6">
        <v>100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>
        <f t="shared" si="0"/>
        <v>100</v>
      </c>
      <c r="P37" s="6">
        <v>100</v>
      </c>
      <c r="W37" s="1"/>
    </row>
    <row r="38" spans="1:23" x14ac:dyDescent="0.3">
      <c r="A38" s="5" t="s">
        <v>30</v>
      </c>
      <c r="B38" s="6">
        <v>61.111111111111114</v>
      </c>
      <c r="C38" s="6"/>
      <c r="D38" s="6"/>
      <c r="E38" s="6">
        <v>16.666666666666664</v>
      </c>
      <c r="F38" s="6"/>
      <c r="G38" s="6"/>
      <c r="H38" s="6"/>
      <c r="I38" s="6"/>
      <c r="J38" s="6"/>
      <c r="K38" s="6"/>
      <c r="L38" s="6">
        <v>16.666666666666664</v>
      </c>
      <c r="M38" s="6"/>
      <c r="N38" s="6">
        <v>5.5555555555555554</v>
      </c>
      <c r="O38" s="6">
        <f t="shared" si="0"/>
        <v>99.999999999999986</v>
      </c>
      <c r="P38" s="6">
        <v>99.999999999999986</v>
      </c>
      <c r="W38" s="1"/>
    </row>
    <row r="39" spans="1:23" x14ac:dyDescent="0.35">
      <c r="A39" s="5" t="s">
        <v>31</v>
      </c>
      <c r="B39" s="6">
        <v>61.53846153846154</v>
      </c>
      <c r="C39" s="6">
        <v>5.1282051282051277</v>
      </c>
      <c r="D39" s="6">
        <v>2.5641025641025639</v>
      </c>
      <c r="E39" s="6">
        <v>10.256410256410255</v>
      </c>
      <c r="F39" s="6"/>
      <c r="G39" s="6"/>
      <c r="H39" s="6">
        <v>2.5641025641025639</v>
      </c>
      <c r="I39" s="6"/>
      <c r="J39" s="6"/>
      <c r="K39" s="6"/>
      <c r="L39" s="6">
        <v>17.948717948717949</v>
      </c>
      <c r="M39" s="6"/>
      <c r="N39" s="6"/>
      <c r="O39" s="6">
        <f t="shared" si="0"/>
        <v>100.00000000000003</v>
      </c>
      <c r="P39" s="6">
        <v>100.00000000000003</v>
      </c>
    </row>
    <row r="40" spans="1:23" x14ac:dyDescent="0.3">
      <c r="A40" s="5" t="s">
        <v>32</v>
      </c>
      <c r="B40" s="6">
        <v>43.75</v>
      </c>
      <c r="C40" s="6">
        <v>6.25</v>
      </c>
      <c r="D40" s="6">
        <v>9.375</v>
      </c>
      <c r="E40" s="6">
        <v>25</v>
      </c>
      <c r="F40" s="6"/>
      <c r="G40" s="6"/>
      <c r="H40" s="6"/>
      <c r="I40" s="6"/>
      <c r="J40" s="6"/>
      <c r="K40" s="6"/>
      <c r="L40" s="6">
        <v>15.625</v>
      </c>
      <c r="M40" s="6"/>
      <c r="N40" s="6"/>
      <c r="O40" s="6">
        <f t="shared" si="0"/>
        <v>100</v>
      </c>
      <c r="P40" s="6">
        <v>100</v>
      </c>
      <c r="W40" s="1"/>
    </row>
    <row r="41" spans="1:23" x14ac:dyDescent="0.3">
      <c r="A41" s="5" t="s">
        <v>33</v>
      </c>
      <c r="B41" s="6">
        <v>33.333333333333329</v>
      </c>
      <c r="C41" s="6"/>
      <c r="D41" s="6">
        <v>16.666666666666664</v>
      </c>
      <c r="E41" s="6">
        <v>50</v>
      </c>
      <c r="F41" s="6"/>
      <c r="G41" s="6"/>
      <c r="H41" s="6"/>
      <c r="I41" s="6"/>
      <c r="J41" s="6"/>
      <c r="K41" s="6"/>
      <c r="L41" s="6"/>
      <c r="M41" s="6"/>
      <c r="N41" s="6"/>
      <c r="O41" s="6">
        <f t="shared" si="0"/>
        <v>100</v>
      </c>
      <c r="P41" s="6">
        <v>100</v>
      </c>
      <c r="W41" s="1"/>
    </row>
    <row r="42" spans="1:23" x14ac:dyDescent="0.3">
      <c r="A42" s="5" t="s">
        <v>34</v>
      </c>
      <c r="B42" s="6">
        <v>64.197530864197532</v>
      </c>
      <c r="C42" s="6"/>
      <c r="D42" s="6">
        <v>18.518518518518519</v>
      </c>
      <c r="E42" s="6">
        <v>11.111111111111111</v>
      </c>
      <c r="F42" s="6">
        <v>1.2345679012345678</v>
      </c>
      <c r="G42" s="6">
        <v>1.2345679012345678</v>
      </c>
      <c r="H42" s="6"/>
      <c r="I42" s="6"/>
      <c r="J42" s="6">
        <v>1.2345679012345678</v>
      </c>
      <c r="K42" s="6">
        <v>1.2345679012345678</v>
      </c>
      <c r="L42" s="6">
        <v>1.2345679012345678</v>
      </c>
      <c r="M42" s="6"/>
      <c r="N42" s="6"/>
      <c r="O42" s="6">
        <f t="shared" si="0"/>
        <v>100.00000000000001</v>
      </c>
      <c r="P42" s="6">
        <v>100.00000000000001</v>
      </c>
      <c r="W42" s="1"/>
    </row>
    <row r="43" spans="1:23" x14ac:dyDescent="0.3">
      <c r="A43" s="5" t="s">
        <v>13</v>
      </c>
      <c r="B43" s="6">
        <v>65.714285714285708</v>
      </c>
      <c r="C43" s="6">
        <v>1.9047619047619049</v>
      </c>
      <c r="D43" s="6">
        <v>23.809523809523807</v>
      </c>
      <c r="E43" s="6">
        <v>2.8571428571428572</v>
      </c>
      <c r="F43" s="6"/>
      <c r="G43" s="6"/>
      <c r="H43" s="6">
        <v>0.95238095238095244</v>
      </c>
      <c r="I43" s="6">
        <v>0.95238095238095244</v>
      </c>
      <c r="J43" s="6"/>
      <c r="K43" s="6"/>
      <c r="L43" s="6">
        <v>0.95238095238095244</v>
      </c>
      <c r="M43" s="6">
        <v>1.9047619047619049</v>
      </c>
      <c r="N43" s="6">
        <v>0.95238095238095244</v>
      </c>
      <c r="O43" s="6">
        <f t="shared" si="0"/>
        <v>99.999999999999972</v>
      </c>
      <c r="P43" s="6">
        <v>99.999999999999972</v>
      </c>
      <c r="W43" s="1"/>
    </row>
    <row r="44" spans="1:23" x14ac:dyDescent="0.3">
      <c r="A44" s="10" t="s">
        <v>45</v>
      </c>
      <c r="B44" s="6">
        <f t="shared" ref="B44:N44" si="1">SUM(B36:B43)</f>
        <v>372.97805589472256</v>
      </c>
      <c r="C44" s="6">
        <f t="shared" si="1"/>
        <v>13.282967032967033</v>
      </c>
      <c r="D44" s="6">
        <f t="shared" si="1"/>
        <v>184.26714489214487</v>
      </c>
      <c r="E44" s="6">
        <f t="shared" si="1"/>
        <v>142.55799755799757</v>
      </c>
      <c r="F44" s="6">
        <f t="shared" si="1"/>
        <v>1.2345679012345678</v>
      </c>
      <c r="G44" s="6">
        <f t="shared" si="1"/>
        <v>1.2345679012345678</v>
      </c>
      <c r="H44" s="6">
        <f t="shared" si="1"/>
        <v>3.5164835164835164</v>
      </c>
      <c r="I44" s="6">
        <f t="shared" si="1"/>
        <v>0.95238095238095244</v>
      </c>
      <c r="J44" s="6">
        <f t="shared" si="1"/>
        <v>1.2345679012345678</v>
      </c>
      <c r="K44" s="6">
        <f t="shared" si="1"/>
        <v>1.2345679012345678</v>
      </c>
      <c r="L44" s="6">
        <f t="shared" si="1"/>
        <v>62.427333469000132</v>
      </c>
      <c r="M44" s="6">
        <f t="shared" si="1"/>
        <v>1.9047619047619049</v>
      </c>
      <c r="N44" s="6">
        <f t="shared" si="1"/>
        <v>13.174603174603174</v>
      </c>
      <c r="O44" s="6">
        <f t="shared" si="0"/>
        <v>799.99999999999977</v>
      </c>
      <c r="P44" s="6"/>
      <c r="W44" s="1"/>
    </row>
    <row r="45" spans="1:23" x14ac:dyDescent="0.3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U45" s="1"/>
      <c r="V45" s="1"/>
      <c r="W45" s="1"/>
    </row>
    <row r="46" spans="1:23" x14ac:dyDescent="0.3">
      <c r="U46" s="1"/>
      <c r="V46" s="1"/>
    </row>
    <row r="53" spans="1:24" x14ac:dyDescent="0.3">
      <c r="R53" s="1"/>
    </row>
    <row r="54" spans="1:24" x14ac:dyDescent="0.3">
      <c r="R54" s="1"/>
    </row>
    <row r="55" spans="1:24" x14ac:dyDescent="0.3">
      <c r="W55" s="1"/>
      <c r="X55" s="1"/>
    </row>
    <row r="56" spans="1:24" x14ac:dyDescent="0.3">
      <c r="W56" s="1"/>
      <c r="X56" s="1"/>
    </row>
    <row r="57" spans="1:24" x14ac:dyDescent="0.3">
      <c r="W57" s="1"/>
      <c r="X57" s="1"/>
    </row>
    <row r="58" spans="1:24" x14ac:dyDescent="0.3">
      <c r="W58" s="1"/>
      <c r="X58" s="1"/>
    </row>
    <row r="59" spans="1:24" x14ac:dyDescent="0.3">
      <c r="W59" s="1"/>
      <c r="X59" s="1"/>
    </row>
    <row r="60" spans="1:24" x14ac:dyDescent="0.3">
      <c r="W60" s="1"/>
      <c r="X60" s="1"/>
    </row>
    <row r="61" spans="1:24" x14ac:dyDescent="0.3">
      <c r="W61" s="1"/>
      <c r="X61" s="1"/>
    </row>
    <row r="62" spans="1:24" x14ac:dyDescent="0.3">
      <c r="W62" s="1"/>
      <c r="X62" s="1"/>
    </row>
    <row r="63" spans="1:24" x14ac:dyDescent="0.3">
      <c r="W63" s="1"/>
      <c r="X63" s="1"/>
    </row>
    <row r="64" spans="1:24" x14ac:dyDescent="0.3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W64" s="1"/>
      <c r="X64" s="1"/>
    </row>
    <row r="65" spans="1:24" x14ac:dyDescent="0.3">
      <c r="A65" s="9" t="s">
        <v>22</v>
      </c>
      <c r="B65" s="9" t="s">
        <v>0</v>
      </c>
      <c r="C65" s="9" t="s">
        <v>1</v>
      </c>
      <c r="D65" s="9" t="s">
        <v>2</v>
      </c>
      <c r="E65" s="9" t="s">
        <v>3</v>
      </c>
      <c r="F65" s="9" t="s">
        <v>4</v>
      </c>
      <c r="G65" s="9" t="s">
        <v>5</v>
      </c>
      <c r="H65" s="9" t="s">
        <v>7</v>
      </c>
      <c r="I65" s="9" t="s">
        <v>8</v>
      </c>
      <c r="J65" s="9" t="s">
        <v>9</v>
      </c>
      <c r="K65" s="9" t="s">
        <v>10</v>
      </c>
      <c r="L65" s="9" t="s">
        <v>25</v>
      </c>
      <c r="M65" s="9" t="s">
        <v>6</v>
      </c>
      <c r="N65" s="9" t="s">
        <v>11</v>
      </c>
      <c r="O65" s="9"/>
      <c r="P65" s="10" t="s">
        <v>12</v>
      </c>
      <c r="W65" s="1"/>
      <c r="X65" s="1"/>
    </row>
    <row r="66" spans="1:24" x14ac:dyDescent="0.3">
      <c r="A66" s="10" t="s">
        <v>35</v>
      </c>
      <c r="B66" s="11">
        <v>39.130434782608695</v>
      </c>
      <c r="C66" s="11"/>
      <c r="D66" s="11">
        <v>34.782608695652172</v>
      </c>
      <c r="E66" s="11"/>
      <c r="F66" s="11">
        <v>4.3478260869565215</v>
      </c>
      <c r="G66" s="11"/>
      <c r="H66" s="11"/>
      <c r="I66" s="11"/>
      <c r="J66" s="11"/>
      <c r="K66" s="11"/>
      <c r="L66" s="11">
        <v>8.695652173913043</v>
      </c>
      <c r="M66" s="11"/>
      <c r="N66" s="11">
        <v>13.043478260869565</v>
      </c>
      <c r="O66" s="11"/>
      <c r="P66" s="11">
        <v>100</v>
      </c>
      <c r="W66" s="1"/>
      <c r="X66" s="1"/>
    </row>
    <row r="67" spans="1:24" x14ac:dyDescent="0.3">
      <c r="A67" s="10" t="s">
        <v>36</v>
      </c>
      <c r="B67" s="11">
        <v>25</v>
      </c>
      <c r="C67" s="11"/>
      <c r="D67" s="11">
        <v>37.5</v>
      </c>
      <c r="E67" s="11">
        <v>37.5</v>
      </c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>
        <v>100</v>
      </c>
      <c r="W67" s="1"/>
      <c r="X67" s="1"/>
    </row>
    <row r="68" spans="1:24" x14ac:dyDescent="0.3">
      <c r="A68" s="10" t="s">
        <v>37</v>
      </c>
      <c r="B68" s="11">
        <v>77.777777777777786</v>
      </c>
      <c r="C68" s="11"/>
      <c r="D68" s="11">
        <v>11.111111111111111</v>
      </c>
      <c r="E68" s="11">
        <v>11.111111111111111</v>
      </c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>
        <v>100.00000000000001</v>
      </c>
      <c r="W68" s="1"/>
      <c r="X68" s="1"/>
    </row>
    <row r="69" spans="1:24" x14ac:dyDescent="0.3">
      <c r="A69" s="10" t="s">
        <v>38</v>
      </c>
      <c r="B69" s="11">
        <v>52.631578947368418</v>
      </c>
      <c r="C69" s="11"/>
      <c r="D69" s="11">
        <v>10.526315789473683</v>
      </c>
      <c r="E69" s="11">
        <v>31.578947368421051</v>
      </c>
      <c r="F69" s="11"/>
      <c r="G69" s="11"/>
      <c r="H69" s="11"/>
      <c r="I69" s="11"/>
      <c r="J69" s="11"/>
      <c r="K69" s="11"/>
      <c r="L69" s="11">
        <v>5.2631578947368416</v>
      </c>
      <c r="M69" s="11"/>
      <c r="N69" s="11"/>
      <c r="O69" s="11"/>
      <c r="P69" s="11">
        <v>99.999999999999986</v>
      </c>
      <c r="W69" s="1"/>
      <c r="X69" s="1"/>
    </row>
    <row r="70" spans="1:24" x14ac:dyDescent="0.3">
      <c r="A70" s="10" t="s">
        <v>39</v>
      </c>
      <c r="B70" s="11">
        <v>52.380952380952387</v>
      </c>
      <c r="C70" s="11">
        <v>3.8095238095238098</v>
      </c>
      <c r="D70" s="11">
        <v>4.7619047619047619</v>
      </c>
      <c r="E70" s="11">
        <v>20.952380952380953</v>
      </c>
      <c r="F70" s="11"/>
      <c r="G70" s="11"/>
      <c r="H70" s="11">
        <v>0.95238095238095244</v>
      </c>
      <c r="I70" s="11"/>
      <c r="J70" s="11"/>
      <c r="K70" s="11">
        <v>0.95238095238095244</v>
      </c>
      <c r="L70" s="11">
        <v>16.19047619047619</v>
      </c>
      <c r="M70" s="11"/>
      <c r="N70" s="11"/>
      <c r="O70" s="11"/>
      <c r="P70" s="11">
        <v>100</v>
      </c>
    </row>
    <row r="71" spans="1:24" x14ac:dyDescent="0.3">
      <c r="A71" s="10" t="s">
        <v>40</v>
      </c>
      <c r="B71" s="11">
        <v>100</v>
      </c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>
        <v>100</v>
      </c>
    </row>
    <row r="72" spans="1:24" x14ac:dyDescent="0.3">
      <c r="A72" s="10" t="s">
        <v>41</v>
      </c>
      <c r="B72" s="11">
        <v>87.5</v>
      </c>
      <c r="C72" s="11"/>
      <c r="D72" s="11">
        <v>12.5</v>
      </c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>
        <v>100</v>
      </c>
    </row>
    <row r="73" spans="1:24" x14ac:dyDescent="0.3">
      <c r="A73" s="10" t="s">
        <v>42</v>
      </c>
      <c r="B73" s="11">
        <v>84.615384615384613</v>
      </c>
      <c r="C73" s="11"/>
      <c r="D73" s="11">
        <v>15.384615384615385</v>
      </c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>
        <v>100</v>
      </c>
    </row>
    <row r="74" spans="1:24" x14ac:dyDescent="0.3">
      <c r="A74" s="10" t="s">
        <v>43</v>
      </c>
      <c r="B74" s="11">
        <v>100</v>
      </c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>
        <v>100</v>
      </c>
    </row>
    <row r="75" spans="1:24" x14ac:dyDescent="0.3">
      <c r="A75" s="10" t="s">
        <v>44</v>
      </c>
      <c r="B75" s="11">
        <v>63.478260869565219</v>
      </c>
      <c r="C75" s="11">
        <v>1.7391304347826086</v>
      </c>
      <c r="D75" s="11">
        <v>25.217391304347824</v>
      </c>
      <c r="E75" s="11">
        <v>3.4782608695652173</v>
      </c>
      <c r="F75" s="11"/>
      <c r="G75" s="11">
        <v>0.86956521739130432</v>
      </c>
      <c r="H75" s="11">
        <v>0.86956521739130432</v>
      </c>
      <c r="I75" s="11">
        <v>0.86956521739130432</v>
      </c>
      <c r="J75" s="11">
        <v>0.86956521739130432</v>
      </c>
      <c r="K75" s="11"/>
      <c r="L75" s="11"/>
      <c r="M75" s="11">
        <v>1.7391304347826086</v>
      </c>
      <c r="N75" s="11">
        <v>0.86956521739130432</v>
      </c>
      <c r="O75" s="11"/>
      <c r="P75" s="11">
        <v>99.999999999999972</v>
      </c>
    </row>
    <row r="76" spans="1:24" x14ac:dyDescent="0.3">
      <c r="A76" s="10" t="s">
        <v>23</v>
      </c>
      <c r="B76" s="11">
        <v>50</v>
      </c>
      <c r="C76" s="11"/>
      <c r="D76" s="11"/>
      <c r="E76" s="11">
        <v>50</v>
      </c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>
        <v>100</v>
      </c>
    </row>
    <row r="77" spans="1:24" x14ac:dyDescent="0.3">
      <c r="A77" s="10" t="s">
        <v>45</v>
      </c>
      <c r="B77" s="11">
        <v>3</v>
      </c>
      <c r="C77" s="11">
        <v>5.5486542443064186</v>
      </c>
      <c r="D77" s="11">
        <v>151.78394704710493</v>
      </c>
      <c r="E77" s="11">
        <v>104.62070030147834</v>
      </c>
      <c r="F77" s="11">
        <v>4.3478260869565215</v>
      </c>
      <c r="G77" s="11">
        <v>0.86956521739130432</v>
      </c>
      <c r="H77" s="11">
        <v>1.8219461697722568</v>
      </c>
      <c r="I77" s="11">
        <v>0.86956521739130432</v>
      </c>
      <c r="J77" s="11">
        <v>0.86956521739130432</v>
      </c>
      <c r="K77" s="11">
        <v>0.95238095238095244</v>
      </c>
      <c r="L77" s="11">
        <v>30.149286259126075</v>
      </c>
      <c r="M77" s="11">
        <v>1.7391304347826086</v>
      </c>
      <c r="N77" s="11">
        <v>13.913043478260869</v>
      </c>
      <c r="O77" s="10">
        <v>0</v>
      </c>
      <c r="P77" s="10">
        <v>1052.3809523809523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figures-Figure4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Augusto Ramírez Trujillo</dc:creator>
  <cp:lastModifiedBy>Rafael Augusto Ramírez Trujillo</cp:lastModifiedBy>
  <dcterms:created xsi:type="dcterms:W3CDTF">2026-02-25T01:16:22Z</dcterms:created>
  <dcterms:modified xsi:type="dcterms:W3CDTF">2026-02-25T01:58:13Z</dcterms:modified>
</cp:coreProperties>
</file>