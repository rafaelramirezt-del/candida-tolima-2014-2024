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Figure1_trend\"/>
    </mc:Choice>
  </mc:AlternateContent>
  <xr:revisionPtr revIDLastSave="0" documentId="13_ncr:1_{B2D9558B-3655-4C9A-964D-BEA20671B8DD}" xr6:coauthVersionLast="47" xr6:coauthVersionMax="47" xr10:uidLastSave="{00000000-0000-0000-0000-000000000000}"/>
  <bookViews>
    <workbookView xWindow="-110" yWindow="-110" windowWidth="19420" windowHeight="10300" xr2:uid="{5E4445DE-BF26-4515-B2D7-B501D1DDC078}"/>
  </bookViews>
  <sheets>
    <sheet name="Fig1_data_final" sheetId="1" r:id="rId1"/>
  </sheets>
  <externalReferences>
    <externalReference r:id="rId2"/>
  </externalReferences>
  <definedNames>
    <definedName name="_xlnm._FilterDatabase" localSheetId="0" hidden="1">Fig1_data_final!$B$5:$D$5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32" i="1" s="1"/>
  <c r="D33" i="1" s="1"/>
  <c r="D34" i="1" s="1"/>
  <c r="D35" i="1" s="1"/>
  <c r="D36" i="1" s="1"/>
  <c r="D37" i="1" s="1"/>
  <c r="D38" i="1" s="1"/>
  <c r="D39" i="1" s="1"/>
  <c r="D40" i="1" s="1"/>
  <c r="D7" i="1"/>
  <c r="D8" i="1" l="1"/>
  <c r="D9" i="1" s="1"/>
  <c r="D10" i="1" s="1"/>
  <c r="D11" i="1" s="1"/>
  <c r="D12" i="1" s="1"/>
  <c r="D13" i="1" s="1"/>
  <c r="D14" i="1" s="1"/>
  <c r="D15" i="1" s="1"/>
  <c r="D16" i="1" s="1"/>
  <c r="C17" i="1"/>
  <c r="D17" i="1"/>
</calcChain>
</file>

<file path=xl/sharedStrings.xml><?xml version="1.0" encoding="utf-8"?>
<sst xmlns="http://schemas.openxmlformats.org/spreadsheetml/2006/main" count="13" uniqueCount="11">
  <si>
    <t>Total general</t>
  </si>
  <si>
    <t>Total</t>
  </si>
  <si>
    <t>Año</t>
  </si>
  <si>
    <t>Number of cases (n = 987)</t>
  </si>
  <si>
    <t>Cumulative cases</t>
  </si>
  <si>
    <t>Confirmed isolates (n=314) (n= 314)</t>
  </si>
  <si>
    <t>Fig1_data_final</t>
  </si>
  <si>
    <t>A</t>
  </si>
  <si>
    <t>B</t>
  </si>
  <si>
    <t>A)</t>
  </si>
  <si>
    <t>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</si>
</sst>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846740881449862E-2"/>
          <c:y val="7.4124000230659876E-2"/>
          <c:w val="0.67686133713178143"/>
          <c:h val="0.790435922147379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Fig1_data_final!$C$5</c:f>
              <c:strCache>
                <c:ptCount val="1"/>
                <c:pt idx="0">
                  <c:v>Number of cases (n = 987)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Fig1_data_final!$B$6:$B$16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Fig1_data_final!$C$6:$C$16</c:f>
              <c:numCache>
                <c:formatCode>General</c:formatCode>
                <c:ptCount val="11"/>
                <c:pt idx="0">
                  <c:v>53</c:v>
                </c:pt>
                <c:pt idx="1">
                  <c:v>33</c:v>
                </c:pt>
                <c:pt idx="2">
                  <c:v>132</c:v>
                </c:pt>
                <c:pt idx="3">
                  <c:v>134</c:v>
                </c:pt>
                <c:pt idx="4">
                  <c:v>147</c:v>
                </c:pt>
                <c:pt idx="5">
                  <c:v>122</c:v>
                </c:pt>
                <c:pt idx="6">
                  <c:v>89</c:v>
                </c:pt>
                <c:pt idx="7">
                  <c:v>67</c:v>
                </c:pt>
                <c:pt idx="8">
                  <c:v>98</c:v>
                </c:pt>
                <c:pt idx="9">
                  <c:v>71</c:v>
                </c:pt>
                <c:pt idx="1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6-4DCA-AB34-1D3AF36847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93088848"/>
        <c:axId val="493089808"/>
      </c:barChart>
      <c:lineChart>
        <c:grouping val="standard"/>
        <c:varyColors val="0"/>
        <c:ser>
          <c:idx val="1"/>
          <c:order val="1"/>
          <c:tx>
            <c:strRef>
              <c:f>Fig1_data_final!$D$5</c:f>
              <c:strCache>
                <c:ptCount val="1"/>
                <c:pt idx="0">
                  <c:v>Cumulative cases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Fig1_data_final!$B$6:$B$16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Fig1_data_final!$D$6:$D$16</c:f>
              <c:numCache>
                <c:formatCode>General</c:formatCode>
                <c:ptCount val="11"/>
                <c:pt idx="0">
                  <c:v>53</c:v>
                </c:pt>
                <c:pt idx="1">
                  <c:v>86</c:v>
                </c:pt>
                <c:pt idx="2">
                  <c:v>218</c:v>
                </c:pt>
                <c:pt idx="3">
                  <c:v>352</c:v>
                </c:pt>
                <c:pt idx="4">
                  <c:v>499</c:v>
                </c:pt>
                <c:pt idx="5">
                  <c:v>621</c:v>
                </c:pt>
                <c:pt idx="6">
                  <c:v>710</c:v>
                </c:pt>
                <c:pt idx="7">
                  <c:v>777</c:v>
                </c:pt>
                <c:pt idx="8">
                  <c:v>875</c:v>
                </c:pt>
                <c:pt idx="9">
                  <c:v>946</c:v>
                </c:pt>
                <c:pt idx="10">
                  <c:v>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D6-4DCA-AB34-1D3AF36847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4478895"/>
        <c:axId val="1694489455"/>
      </c:lineChart>
      <c:catAx>
        <c:axId val="49308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493089808"/>
        <c:crosses val="autoZero"/>
        <c:auto val="1"/>
        <c:lblAlgn val="ctr"/>
        <c:lblOffset val="100"/>
        <c:noMultiLvlLbl val="0"/>
      </c:catAx>
      <c:valAx>
        <c:axId val="493089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 b="1"/>
                  <a:t>Number of cases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493088848"/>
        <c:crosses val="autoZero"/>
        <c:crossBetween val="between"/>
      </c:valAx>
      <c:valAx>
        <c:axId val="1694489455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 b="1"/>
                  <a:t>Cumulative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4478895"/>
        <c:crosses val="max"/>
        <c:crossBetween val="between"/>
      </c:valAx>
      <c:catAx>
        <c:axId val="1694478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44894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949124210553696"/>
          <c:y val="0.31772535794484597"/>
          <c:w val="0.12674155159667075"/>
          <c:h val="0.294105926159488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339887390756662E-2"/>
          <c:y val="7.4124000230659876E-2"/>
          <c:w val="0.69200526405935292"/>
          <c:h val="0.79702798150125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Fig1_data_final!$C$29</c:f>
              <c:strCache>
                <c:ptCount val="1"/>
                <c:pt idx="0">
                  <c:v>Confirmed isolates (n=314) (n= 314)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[1]ANALISIS_TABLA_GENERAL!$M$78:$M$89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Total</c:v>
                </c:pt>
              </c:strCache>
            </c:strRef>
          </c:cat>
          <c:val>
            <c:numRef>
              <c:f>Fig1_data_final!$C$30:$C$40</c:f>
              <c:numCache>
                <c:formatCode>General</c:formatCode>
                <c:ptCount val="11"/>
                <c:pt idx="0">
                  <c:v>2</c:v>
                </c:pt>
                <c:pt idx="1">
                  <c:v>7</c:v>
                </c:pt>
                <c:pt idx="2">
                  <c:v>10</c:v>
                </c:pt>
                <c:pt idx="3">
                  <c:v>5</c:v>
                </c:pt>
                <c:pt idx="4">
                  <c:v>10</c:v>
                </c:pt>
                <c:pt idx="5">
                  <c:v>63</c:v>
                </c:pt>
                <c:pt idx="6">
                  <c:v>13</c:v>
                </c:pt>
                <c:pt idx="7">
                  <c:v>4</c:v>
                </c:pt>
                <c:pt idx="8">
                  <c:v>39</c:v>
                </c:pt>
                <c:pt idx="9">
                  <c:v>68</c:v>
                </c:pt>
                <c:pt idx="1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8C-4C6D-A9B2-745992D504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493088848"/>
        <c:axId val="493089808"/>
      </c:barChart>
      <c:lineChart>
        <c:grouping val="standard"/>
        <c:varyColors val="0"/>
        <c:ser>
          <c:idx val="1"/>
          <c:order val="1"/>
          <c:tx>
            <c:strRef>
              <c:f>Fig1_data_final!$D$29</c:f>
              <c:strCache>
                <c:ptCount val="1"/>
                <c:pt idx="0">
                  <c:v>Cumulative cases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Fig1_data_final!$B$30:$B$40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Fig1_data_final!$D$30:$D$40</c:f>
              <c:numCache>
                <c:formatCode>General</c:formatCode>
                <c:ptCount val="11"/>
                <c:pt idx="0">
                  <c:v>2</c:v>
                </c:pt>
                <c:pt idx="1">
                  <c:v>9</c:v>
                </c:pt>
                <c:pt idx="2">
                  <c:v>19</c:v>
                </c:pt>
                <c:pt idx="3">
                  <c:v>24</c:v>
                </c:pt>
                <c:pt idx="4">
                  <c:v>34</c:v>
                </c:pt>
                <c:pt idx="5">
                  <c:v>97</c:v>
                </c:pt>
                <c:pt idx="6">
                  <c:v>110</c:v>
                </c:pt>
                <c:pt idx="7">
                  <c:v>114</c:v>
                </c:pt>
                <c:pt idx="8">
                  <c:v>153</c:v>
                </c:pt>
                <c:pt idx="9">
                  <c:v>221</c:v>
                </c:pt>
                <c:pt idx="10">
                  <c:v>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38C-4C6D-A9B2-745992D50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4478895"/>
        <c:axId val="1694489455"/>
      </c:lineChart>
      <c:catAx>
        <c:axId val="49308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Year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493089808"/>
        <c:crosses val="autoZero"/>
        <c:auto val="1"/>
        <c:lblAlgn val="ctr"/>
        <c:lblOffset val="100"/>
        <c:noMultiLvlLbl val="0"/>
      </c:catAx>
      <c:valAx>
        <c:axId val="493089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 b="1"/>
                  <a:t>Confirmed isolates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493088848"/>
        <c:crosses val="autoZero"/>
        <c:crossBetween val="between"/>
      </c:valAx>
      <c:valAx>
        <c:axId val="1694489455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CO" b="1"/>
                  <a:t>Cumulative cases</a:t>
                </a:r>
              </a:p>
            </c:rich>
          </c:tx>
          <c:layout>
            <c:manualLayout>
              <c:xMode val="edge"/>
              <c:yMode val="edge"/>
              <c:x val="0.81760261988851812"/>
              <c:y val="0.313625691046781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4478895"/>
        <c:crosses val="max"/>
        <c:crossBetween val="between"/>
      </c:valAx>
      <c:catAx>
        <c:axId val="1694478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44894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46371202906944"/>
          <c:y val="0.31772535794484597"/>
          <c:w val="0.14601564041357989"/>
          <c:h val="0.294105926159488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90919</xdr:colOff>
      <xdr:row>0</xdr:row>
      <xdr:rowOff>0</xdr:rowOff>
    </xdr:from>
    <xdr:to>
      <xdr:col>13</xdr:col>
      <xdr:colOff>629228</xdr:colOff>
      <xdr:row>25</xdr:row>
      <xdr:rowOff>98344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7B0897A-498D-46E2-AA21-5339342B8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63501</xdr:colOff>
      <xdr:row>25</xdr:row>
      <xdr:rowOff>151535</xdr:rowOff>
    </xdr:from>
    <xdr:to>
      <xdr:col>13</xdr:col>
      <xdr:colOff>533979</xdr:colOff>
      <xdr:row>47</xdr:row>
      <xdr:rowOff>103910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9FA35F5-6458-4CD1-BB50-F1CD3DD2F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esktop\TESIS\BD_HOSPITALES\BD_GENERAL_RR1.xlsx" TargetMode="External"/><Relationship Id="rId1" Type="http://schemas.openxmlformats.org/officeDocument/2006/relationships/externalLinkPath" Target="/Users/pc/Desktop/TESIS/BD_HOSPITALES/BD_GENERAL_R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_DE_DATOS_GENERAL"/>
      <sheetName val="ANALISIS_TABLA_GENERAL"/>
      <sheetName val="BASE_DATOS_LABORATORIO"/>
      <sheetName val="ANALISIS_TABLA_LABORATORIO"/>
      <sheetName val="Hoja1"/>
    </sheetNames>
    <sheetDataSet>
      <sheetData sheetId="0"/>
      <sheetData sheetId="1">
        <row r="78">
          <cell r="M78">
            <v>2014</v>
          </cell>
        </row>
        <row r="79">
          <cell r="M79">
            <v>2015</v>
          </cell>
        </row>
        <row r="80">
          <cell r="M80">
            <v>2016</v>
          </cell>
        </row>
        <row r="81">
          <cell r="M81">
            <v>2017</v>
          </cell>
        </row>
        <row r="82">
          <cell r="M82">
            <v>2018</v>
          </cell>
        </row>
        <row r="83">
          <cell r="M83">
            <v>2019</v>
          </cell>
        </row>
        <row r="84">
          <cell r="M84">
            <v>2020</v>
          </cell>
        </row>
        <row r="85">
          <cell r="M85">
            <v>2021</v>
          </cell>
        </row>
        <row r="86">
          <cell r="M86">
            <v>2022</v>
          </cell>
        </row>
        <row r="87">
          <cell r="M87">
            <v>2023</v>
          </cell>
        </row>
        <row r="88">
          <cell r="M88">
            <v>2024</v>
          </cell>
        </row>
        <row r="89">
          <cell r="M89" t="str">
            <v>Total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2505-3B83-408D-B552-1044DC61AE19}">
  <dimension ref="A1:W304"/>
  <sheetViews>
    <sheetView tabSelected="1" zoomScale="50" zoomScaleNormal="50" workbookViewId="0"/>
  </sheetViews>
  <sheetFormatPr baseColWidth="10" defaultRowHeight="14" x14ac:dyDescent="0.35"/>
  <cols>
    <col min="1" max="1" width="23.6328125" style="1" bestFit="1" customWidth="1"/>
    <col min="2" max="2" width="21.453125" style="1" bestFit="1" customWidth="1"/>
    <col min="3" max="3" width="26.6328125" style="1" customWidth="1"/>
    <col min="4" max="4" width="16.6328125" style="1" bestFit="1" customWidth="1"/>
    <col min="5" max="5" width="9.6328125" style="1" bestFit="1" customWidth="1"/>
    <col min="6" max="6" width="22.54296875" style="1" bestFit="1" customWidth="1"/>
    <col min="7" max="7" width="14.81640625" style="1" bestFit="1" customWidth="1"/>
    <col min="8" max="8" width="7.7265625" style="1" bestFit="1" customWidth="1"/>
    <col min="9" max="9" width="11.81640625" style="1" bestFit="1" customWidth="1"/>
    <col min="10" max="10" width="17.26953125" style="1" customWidth="1"/>
    <col min="11" max="11" width="25.54296875" style="1" bestFit="1" customWidth="1"/>
    <col min="12" max="12" width="12.36328125" style="1" customWidth="1"/>
    <col min="13" max="13" width="45.36328125" style="1" bestFit="1" customWidth="1"/>
    <col min="14" max="14" width="18.54296875" style="1" customWidth="1"/>
    <col min="15" max="19" width="10.90625" style="1"/>
    <col min="20" max="20" width="14.54296875" style="1" customWidth="1"/>
    <col min="21" max="21" width="10.90625" style="1"/>
    <col min="22" max="22" width="25.6328125" style="1" customWidth="1"/>
    <col min="23" max="23" width="10.90625" style="1"/>
    <col min="24" max="28" width="11" style="1" bestFit="1" customWidth="1"/>
    <col min="29" max="30" width="11.26953125" style="1" bestFit="1" customWidth="1"/>
    <col min="31" max="31" width="12.36328125" style="1" bestFit="1" customWidth="1"/>
    <col min="32" max="32" width="27.08984375" style="1" customWidth="1"/>
    <col min="33" max="33" width="11.1796875" style="1" bestFit="1" customWidth="1"/>
    <col min="34" max="16384" width="10.90625" style="1"/>
  </cols>
  <sheetData>
    <row r="1" spans="1:6" x14ac:dyDescent="0.35">
      <c r="A1" s="1" t="s">
        <v>6</v>
      </c>
    </row>
    <row r="2" spans="1:6" x14ac:dyDescent="0.35">
      <c r="F2" s="1" t="s">
        <v>9</v>
      </c>
    </row>
    <row r="3" spans="1:6" x14ac:dyDescent="0.35">
      <c r="A3" s="1" t="s">
        <v>7</v>
      </c>
    </row>
    <row r="5" spans="1:6" x14ac:dyDescent="0.35">
      <c r="B5" s="2" t="s">
        <v>2</v>
      </c>
      <c r="C5" s="2" t="s">
        <v>3</v>
      </c>
      <c r="D5" s="2" t="s">
        <v>4</v>
      </c>
    </row>
    <row r="6" spans="1:6" x14ac:dyDescent="0.35">
      <c r="B6" s="1">
        <v>2014</v>
      </c>
      <c r="C6" s="1">
        <v>53</v>
      </c>
      <c r="D6" s="1">
        <v>53</v>
      </c>
    </row>
    <row r="7" spans="1:6" x14ac:dyDescent="0.35">
      <c r="B7" s="1">
        <v>2015</v>
      </c>
      <c r="C7" s="1">
        <v>33</v>
      </c>
      <c r="D7" s="1">
        <f>D6+C7</f>
        <v>86</v>
      </c>
    </row>
    <row r="8" spans="1:6" x14ac:dyDescent="0.35">
      <c r="B8" s="1">
        <v>2016</v>
      </c>
      <c r="C8" s="1">
        <v>132</v>
      </c>
      <c r="D8" s="1">
        <f t="shared" ref="D8:D16" si="0">D7+C8</f>
        <v>218</v>
      </c>
    </row>
    <row r="9" spans="1:6" x14ac:dyDescent="0.35">
      <c r="B9" s="1">
        <v>2017</v>
      </c>
      <c r="C9" s="1">
        <v>134</v>
      </c>
      <c r="D9" s="1">
        <f t="shared" si="0"/>
        <v>352</v>
      </c>
    </row>
    <row r="10" spans="1:6" x14ac:dyDescent="0.35">
      <c r="B10" s="1">
        <v>2018</v>
      </c>
      <c r="C10" s="1">
        <v>147</v>
      </c>
      <c r="D10" s="1">
        <f t="shared" si="0"/>
        <v>499</v>
      </c>
    </row>
    <row r="11" spans="1:6" x14ac:dyDescent="0.35">
      <c r="B11" s="1">
        <v>2019</v>
      </c>
      <c r="C11" s="1">
        <v>122</v>
      </c>
      <c r="D11" s="1">
        <f t="shared" si="0"/>
        <v>621</v>
      </c>
    </row>
    <row r="12" spans="1:6" x14ac:dyDescent="0.35">
      <c r="B12" s="1">
        <v>2020</v>
      </c>
      <c r="C12" s="1">
        <v>89</v>
      </c>
      <c r="D12" s="1">
        <f t="shared" si="0"/>
        <v>710</v>
      </c>
    </row>
    <row r="13" spans="1:6" x14ac:dyDescent="0.35">
      <c r="B13" s="1">
        <v>2021</v>
      </c>
      <c r="C13" s="1">
        <v>67</v>
      </c>
      <c r="D13" s="1">
        <f t="shared" si="0"/>
        <v>777</v>
      </c>
    </row>
    <row r="14" spans="1:6" x14ac:dyDescent="0.35">
      <c r="B14" s="1">
        <v>2022</v>
      </c>
      <c r="C14" s="1">
        <v>98</v>
      </c>
      <c r="D14" s="1">
        <f t="shared" si="0"/>
        <v>875</v>
      </c>
    </row>
    <row r="15" spans="1:6" x14ac:dyDescent="0.35">
      <c r="B15" s="1">
        <v>2023</v>
      </c>
      <c r="C15" s="1">
        <v>71</v>
      </c>
      <c r="D15" s="1">
        <f t="shared" si="0"/>
        <v>946</v>
      </c>
    </row>
    <row r="16" spans="1:6" x14ac:dyDescent="0.35">
      <c r="B16" s="1">
        <v>2024</v>
      </c>
      <c r="C16" s="1">
        <v>41</v>
      </c>
      <c r="D16" s="1">
        <f t="shared" si="0"/>
        <v>987</v>
      </c>
    </row>
    <row r="17" spans="1:11" x14ac:dyDescent="0.35">
      <c r="B17" s="3" t="s">
        <v>1</v>
      </c>
      <c r="C17" s="3">
        <f ca="1">SUM(C6:C17)</f>
        <v>987</v>
      </c>
      <c r="D17" s="3">
        <f ca="1">SUM(D6:D17)</f>
        <v>6124</v>
      </c>
    </row>
    <row r="21" spans="1:11" x14ac:dyDescent="0.35">
      <c r="B21" s="8"/>
    </row>
    <row r="24" spans="1:11" x14ac:dyDescent="0.35">
      <c r="A24" s="4"/>
      <c r="B24" s="4"/>
    </row>
    <row r="25" spans="1:11" x14ac:dyDescent="0.35">
      <c r="A25" s="5"/>
      <c r="B25" s="6"/>
    </row>
    <row r="26" spans="1:11" x14ac:dyDescent="0.35">
      <c r="A26" s="5" t="s">
        <v>8</v>
      </c>
      <c r="B26" s="6"/>
      <c r="I26" s="7"/>
      <c r="J26" s="7"/>
      <c r="K26" s="7"/>
    </row>
    <row r="28" spans="1:11" x14ac:dyDescent="0.35">
      <c r="F28" s="1" t="s">
        <v>10</v>
      </c>
    </row>
    <row r="29" spans="1:11" x14ac:dyDescent="0.35">
      <c r="B29" s="2" t="s">
        <v>2</v>
      </c>
      <c r="C29" s="2" t="s">
        <v>5</v>
      </c>
      <c r="D29" s="2" t="s">
        <v>4</v>
      </c>
    </row>
    <row r="30" spans="1:11" x14ac:dyDescent="0.35">
      <c r="B30" s="1">
        <v>2014</v>
      </c>
      <c r="C30" s="1">
        <v>2</v>
      </c>
      <c r="D30" s="1">
        <v>2</v>
      </c>
    </row>
    <row r="31" spans="1:11" x14ac:dyDescent="0.35">
      <c r="B31" s="1">
        <v>2015</v>
      </c>
      <c r="C31" s="1">
        <v>7</v>
      </c>
      <c r="D31" s="1">
        <f>D30+C31</f>
        <v>9</v>
      </c>
    </row>
    <row r="32" spans="1:11" x14ac:dyDescent="0.35">
      <c r="B32" s="1">
        <v>2016</v>
      </c>
      <c r="C32" s="1">
        <v>10</v>
      </c>
      <c r="D32" s="1">
        <f t="shared" ref="D32:D40" si="1">D31+C32</f>
        <v>19</v>
      </c>
    </row>
    <row r="33" spans="2:12" x14ac:dyDescent="0.35">
      <c r="B33" s="1">
        <v>2017</v>
      </c>
      <c r="C33" s="1">
        <v>5</v>
      </c>
      <c r="D33" s="1">
        <f t="shared" si="1"/>
        <v>24</v>
      </c>
    </row>
    <row r="34" spans="2:12" x14ac:dyDescent="0.35">
      <c r="B34" s="1">
        <v>2018</v>
      </c>
      <c r="C34" s="1">
        <v>10</v>
      </c>
      <c r="D34" s="1">
        <f t="shared" si="1"/>
        <v>34</v>
      </c>
    </row>
    <row r="35" spans="2:12" x14ac:dyDescent="0.35">
      <c r="B35" s="1">
        <v>2019</v>
      </c>
      <c r="C35" s="1">
        <v>63</v>
      </c>
      <c r="D35" s="1">
        <f t="shared" si="1"/>
        <v>97</v>
      </c>
    </row>
    <row r="36" spans="2:12" x14ac:dyDescent="0.35">
      <c r="B36" s="1">
        <v>2020</v>
      </c>
      <c r="C36" s="1">
        <v>13</v>
      </c>
      <c r="D36" s="1">
        <f t="shared" si="1"/>
        <v>110</v>
      </c>
    </row>
    <row r="37" spans="2:12" x14ac:dyDescent="0.35">
      <c r="B37" s="1">
        <v>2021</v>
      </c>
      <c r="C37" s="1">
        <v>4</v>
      </c>
      <c r="D37" s="1">
        <f t="shared" si="1"/>
        <v>114</v>
      </c>
    </row>
    <row r="38" spans="2:12" x14ac:dyDescent="0.35">
      <c r="B38" s="1">
        <v>2022</v>
      </c>
      <c r="C38" s="1">
        <v>39</v>
      </c>
      <c r="D38" s="1">
        <f t="shared" si="1"/>
        <v>153</v>
      </c>
    </row>
    <row r="39" spans="2:12" x14ac:dyDescent="0.35">
      <c r="B39" s="1">
        <v>2023</v>
      </c>
      <c r="C39" s="1">
        <v>68</v>
      </c>
      <c r="D39" s="1">
        <f t="shared" si="1"/>
        <v>221</v>
      </c>
    </row>
    <row r="40" spans="2:12" x14ac:dyDescent="0.35">
      <c r="B40" s="1">
        <v>2024</v>
      </c>
      <c r="C40" s="1">
        <v>93</v>
      </c>
      <c r="D40" s="1">
        <f t="shared" si="1"/>
        <v>314</v>
      </c>
    </row>
    <row r="41" spans="2:12" x14ac:dyDescent="0.35">
      <c r="B41" s="3" t="s">
        <v>0</v>
      </c>
      <c r="C41" s="3">
        <v>348</v>
      </c>
      <c r="D41" s="3"/>
      <c r="L41" s="8"/>
    </row>
    <row r="42" spans="2:12" x14ac:dyDescent="0.35">
      <c r="B42" s="6"/>
      <c r="L42" s="8"/>
    </row>
    <row r="43" spans="2:12" x14ac:dyDescent="0.35">
      <c r="B43" s="6"/>
      <c r="L43" s="8"/>
    </row>
    <row r="44" spans="2:12" x14ac:dyDescent="0.35">
      <c r="B44" s="6"/>
      <c r="L44" s="8"/>
    </row>
    <row r="45" spans="2:12" x14ac:dyDescent="0.35">
      <c r="B45" s="6"/>
      <c r="L45" s="8"/>
    </row>
    <row r="46" spans="2:12" x14ac:dyDescent="0.35">
      <c r="B46" s="6"/>
      <c r="L46" s="8"/>
    </row>
    <row r="47" spans="2:12" x14ac:dyDescent="0.35">
      <c r="B47" s="6"/>
    </row>
    <row r="48" spans="2:12" x14ac:dyDescent="0.35">
      <c r="B48" s="6"/>
    </row>
    <row r="49" spans="1:23" x14ac:dyDescent="0.35">
      <c r="B49" s="6"/>
    </row>
    <row r="50" spans="1:23" x14ac:dyDescent="0.35">
      <c r="B50" s="6"/>
    </row>
    <row r="51" spans="1:23" x14ac:dyDescent="0.35">
      <c r="B51" s="6"/>
    </row>
    <row r="52" spans="1:23" x14ac:dyDescent="0.35">
      <c r="B52" s="6"/>
    </row>
    <row r="53" spans="1:23" x14ac:dyDescent="0.35">
      <c r="B53" s="6"/>
    </row>
    <row r="54" spans="1:23" x14ac:dyDescent="0.35">
      <c r="B54" s="6"/>
    </row>
    <row r="55" spans="1:23" x14ac:dyDescent="0.35">
      <c r="B55" s="6"/>
      <c r="T55" s="4"/>
      <c r="U55" s="4"/>
      <c r="V55" s="4"/>
      <c r="W55" s="4"/>
    </row>
    <row r="56" spans="1:23" x14ac:dyDescent="0.35">
      <c r="B56" s="6"/>
      <c r="T56" s="4"/>
      <c r="U56" s="5"/>
      <c r="V56" s="5"/>
      <c r="W56" s="6"/>
    </row>
    <row r="57" spans="1:23" x14ac:dyDescent="0.35">
      <c r="B57" s="6"/>
      <c r="T57" s="5"/>
      <c r="U57" s="5"/>
      <c r="V57" s="5"/>
      <c r="W57" s="6"/>
    </row>
    <row r="58" spans="1:23" x14ac:dyDescent="0.35">
      <c r="B58" s="6"/>
      <c r="T58" s="4"/>
      <c r="W58" s="6"/>
    </row>
    <row r="59" spans="1:23" x14ac:dyDescent="0.35">
      <c r="B59" s="6"/>
      <c r="T59" s="5"/>
      <c r="U59" s="5"/>
      <c r="V59" s="5"/>
      <c r="W59" s="6"/>
    </row>
    <row r="60" spans="1:23" x14ac:dyDescent="0.35">
      <c r="B60" s="6"/>
      <c r="T60" s="5"/>
      <c r="U60" s="5"/>
      <c r="V60" s="5"/>
      <c r="W60" s="6"/>
    </row>
    <row r="61" spans="1:23" x14ac:dyDescent="0.35">
      <c r="B61" s="6"/>
      <c r="T61" s="5"/>
      <c r="U61" s="5"/>
      <c r="V61" s="5"/>
      <c r="W61" s="6"/>
    </row>
    <row r="62" spans="1:23" x14ac:dyDescent="0.35">
      <c r="B62" s="6"/>
      <c r="T62" s="5"/>
      <c r="U62" s="5"/>
      <c r="V62" s="5"/>
      <c r="W62" s="6"/>
    </row>
    <row r="63" spans="1:23" x14ac:dyDescent="0.35">
      <c r="B63" s="6"/>
      <c r="T63" s="5"/>
      <c r="U63" s="5"/>
      <c r="V63" s="5"/>
      <c r="W63" s="6"/>
    </row>
    <row r="64" spans="1:23" x14ac:dyDescent="0.35">
      <c r="A64" s="7"/>
      <c r="B64" s="6"/>
      <c r="C64" s="7"/>
      <c r="D64" s="7"/>
      <c r="T64" s="7"/>
      <c r="W64" s="6"/>
    </row>
    <row r="65" spans="1:23" x14ac:dyDescent="0.35">
      <c r="B65" s="6"/>
      <c r="L65" s="4"/>
      <c r="M65" s="4"/>
      <c r="N65" s="4"/>
      <c r="O65" s="4"/>
      <c r="W65" s="6"/>
    </row>
    <row r="66" spans="1:23" x14ac:dyDescent="0.35">
      <c r="B66" s="6"/>
      <c r="L66" s="4"/>
      <c r="M66" s="5"/>
      <c r="N66" s="5"/>
      <c r="O66" s="6"/>
      <c r="W66" s="6"/>
    </row>
    <row r="67" spans="1:23" x14ac:dyDescent="0.35">
      <c r="L67" s="5"/>
      <c r="M67" s="5"/>
      <c r="N67" s="5"/>
      <c r="O67" s="6"/>
      <c r="W67" s="6"/>
    </row>
    <row r="68" spans="1:23" x14ac:dyDescent="0.35">
      <c r="L68" s="7"/>
      <c r="O68" s="8"/>
      <c r="W68" s="8"/>
    </row>
    <row r="69" spans="1:23" x14ac:dyDescent="0.35">
      <c r="L69" s="5"/>
      <c r="M69" s="5"/>
      <c r="N69" s="5"/>
      <c r="O69" s="6"/>
      <c r="W69" s="6"/>
    </row>
    <row r="70" spans="1:23" x14ac:dyDescent="0.35">
      <c r="A70" s="7"/>
      <c r="B70" s="7"/>
      <c r="C70" s="7"/>
      <c r="D70" s="7"/>
      <c r="E70" s="7"/>
      <c r="L70" s="5"/>
      <c r="M70" s="5"/>
      <c r="N70" s="5"/>
      <c r="O70" s="6"/>
      <c r="W70" s="6"/>
    </row>
    <row r="71" spans="1:23" x14ac:dyDescent="0.35">
      <c r="A71" s="9"/>
      <c r="B71" s="9"/>
      <c r="C71" s="9"/>
      <c r="L71" s="5"/>
      <c r="M71" s="5"/>
      <c r="N71" s="5"/>
      <c r="O71" s="6"/>
      <c r="T71" s="7"/>
      <c r="W71" s="6"/>
    </row>
    <row r="72" spans="1:23" x14ac:dyDescent="0.35">
      <c r="L72" s="5"/>
      <c r="M72" s="5"/>
      <c r="N72" s="5"/>
      <c r="O72" s="6"/>
      <c r="W72" s="6"/>
    </row>
    <row r="73" spans="1:23" x14ac:dyDescent="0.35">
      <c r="L73" s="5"/>
      <c r="M73" s="5"/>
      <c r="N73" s="5"/>
      <c r="O73" s="6"/>
      <c r="W73" s="6"/>
    </row>
    <row r="74" spans="1:23" x14ac:dyDescent="0.35">
      <c r="L74" s="7"/>
      <c r="O74" s="6"/>
      <c r="W74" s="6"/>
    </row>
    <row r="75" spans="1:23" x14ac:dyDescent="0.35">
      <c r="O75" s="6"/>
      <c r="W75" s="6"/>
    </row>
    <row r="76" spans="1:23" x14ac:dyDescent="0.35">
      <c r="A76" s="9"/>
      <c r="B76" s="9"/>
      <c r="C76" s="9"/>
      <c r="O76" s="6"/>
      <c r="W76" s="6"/>
    </row>
    <row r="77" spans="1:23" x14ac:dyDescent="0.35">
      <c r="O77" s="6"/>
      <c r="W77" s="6"/>
    </row>
    <row r="78" spans="1:23" x14ac:dyDescent="0.35">
      <c r="O78" s="6"/>
      <c r="T78" s="7"/>
      <c r="W78" s="6"/>
    </row>
    <row r="79" spans="1:23" x14ac:dyDescent="0.35">
      <c r="O79" s="6"/>
      <c r="W79" s="6"/>
    </row>
    <row r="80" spans="1:23" x14ac:dyDescent="0.35">
      <c r="O80" s="6"/>
      <c r="W80" s="6"/>
    </row>
    <row r="81" spans="1:23" x14ac:dyDescent="0.35">
      <c r="L81" s="7"/>
      <c r="O81" s="6"/>
      <c r="W81" s="6"/>
    </row>
    <row r="82" spans="1:23" x14ac:dyDescent="0.35">
      <c r="O82" s="6"/>
      <c r="W82" s="6"/>
    </row>
    <row r="83" spans="1:23" x14ac:dyDescent="0.35">
      <c r="O83" s="6"/>
      <c r="W83" s="6"/>
    </row>
    <row r="84" spans="1:23" x14ac:dyDescent="0.35">
      <c r="O84" s="6"/>
      <c r="W84" s="6"/>
    </row>
    <row r="85" spans="1:23" x14ac:dyDescent="0.35">
      <c r="O85" s="6"/>
      <c r="W85" s="6"/>
    </row>
    <row r="86" spans="1:23" x14ac:dyDescent="0.35">
      <c r="O86" s="6"/>
      <c r="W86" s="6"/>
    </row>
    <row r="87" spans="1:23" x14ac:dyDescent="0.35">
      <c r="A87" s="9"/>
      <c r="B87" s="9"/>
      <c r="C87" s="9"/>
      <c r="O87" s="6"/>
      <c r="T87" s="7"/>
      <c r="W87" s="8"/>
    </row>
    <row r="88" spans="1:23" x14ac:dyDescent="0.35">
      <c r="L88" s="7"/>
      <c r="O88" s="8"/>
    </row>
    <row r="89" spans="1:23" x14ac:dyDescent="0.35">
      <c r="O89" s="8"/>
    </row>
    <row r="90" spans="1:23" x14ac:dyDescent="0.35">
      <c r="O90" s="8"/>
    </row>
    <row r="91" spans="1:23" x14ac:dyDescent="0.35">
      <c r="O91" s="8"/>
    </row>
    <row r="92" spans="1:23" x14ac:dyDescent="0.35">
      <c r="L92" s="7"/>
      <c r="O92" s="6"/>
    </row>
    <row r="93" spans="1:23" x14ac:dyDescent="0.35">
      <c r="O93" s="6"/>
    </row>
    <row r="94" spans="1:23" x14ac:dyDescent="0.35">
      <c r="O94" s="6"/>
    </row>
    <row r="95" spans="1:23" x14ac:dyDescent="0.35">
      <c r="A95" s="9"/>
      <c r="B95" s="9"/>
      <c r="O95" s="6"/>
    </row>
    <row r="96" spans="1:23" x14ac:dyDescent="0.35">
      <c r="O96" s="6"/>
      <c r="T96" s="7"/>
    </row>
    <row r="97" spans="1:20" x14ac:dyDescent="0.35">
      <c r="O97" s="6"/>
    </row>
    <row r="98" spans="1:20" x14ac:dyDescent="0.35">
      <c r="O98" s="6"/>
    </row>
    <row r="99" spans="1:20" x14ac:dyDescent="0.35">
      <c r="O99" s="6"/>
    </row>
    <row r="100" spans="1:20" x14ac:dyDescent="0.35">
      <c r="O100" s="6"/>
    </row>
    <row r="101" spans="1:20" x14ac:dyDescent="0.35">
      <c r="L101" s="7"/>
      <c r="O101" s="6"/>
    </row>
    <row r="103" spans="1:20" x14ac:dyDescent="0.35">
      <c r="T103" s="7"/>
    </row>
    <row r="110" spans="1:20" x14ac:dyDescent="0.35">
      <c r="L110" s="7"/>
    </row>
    <row r="111" spans="1:20" x14ac:dyDescent="0.35">
      <c r="A111" s="7"/>
      <c r="B111" s="7"/>
      <c r="C111" s="7"/>
    </row>
    <row r="112" spans="1:20" x14ac:dyDescent="0.35">
      <c r="A112" s="10"/>
    </row>
    <row r="113" spans="1:1" x14ac:dyDescent="0.35">
      <c r="A113" s="11"/>
    </row>
    <row r="114" spans="1:1" x14ac:dyDescent="0.35">
      <c r="A114" s="11"/>
    </row>
    <row r="115" spans="1:1" x14ac:dyDescent="0.35">
      <c r="A115" s="11"/>
    </row>
    <row r="116" spans="1:1" x14ac:dyDescent="0.35">
      <c r="A116" s="11"/>
    </row>
    <row r="117" spans="1:1" x14ac:dyDescent="0.35">
      <c r="A117" s="11"/>
    </row>
    <row r="118" spans="1:1" x14ac:dyDescent="0.35">
      <c r="A118" s="11"/>
    </row>
    <row r="119" spans="1:1" x14ac:dyDescent="0.35">
      <c r="A119" s="11"/>
    </row>
    <row r="120" spans="1:1" x14ac:dyDescent="0.35">
      <c r="A120" s="11"/>
    </row>
    <row r="121" spans="1:1" x14ac:dyDescent="0.35">
      <c r="A121" s="11"/>
    </row>
    <row r="122" spans="1:1" x14ac:dyDescent="0.35">
      <c r="A122" s="11"/>
    </row>
    <row r="123" spans="1:1" x14ac:dyDescent="0.35">
      <c r="A123" s="10"/>
    </row>
    <row r="124" spans="1:1" x14ac:dyDescent="0.35">
      <c r="A124" s="11"/>
    </row>
    <row r="125" spans="1:1" x14ac:dyDescent="0.35">
      <c r="A125" s="11"/>
    </row>
    <row r="126" spans="1:1" x14ac:dyDescent="0.35">
      <c r="A126" s="11"/>
    </row>
    <row r="127" spans="1:1" x14ac:dyDescent="0.35">
      <c r="A127" s="11"/>
    </row>
    <row r="128" spans="1:1" x14ac:dyDescent="0.35">
      <c r="A128" s="11"/>
    </row>
    <row r="129" spans="1:1" x14ac:dyDescent="0.35">
      <c r="A129" s="11"/>
    </row>
    <row r="130" spans="1:1" x14ac:dyDescent="0.35">
      <c r="A130" s="11"/>
    </row>
    <row r="131" spans="1:1" x14ac:dyDescent="0.35">
      <c r="A131" s="11"/>
    </row>
    <row r="132" spans="1:1" x14ac:dyDescent="0.35">
      <c r="A132" s="11"/>
    </row>
    <row r="133" spans="1:1" x14ac:dyDescent="0.35">
      <c r="A133" s="11"/>
    </row>
    <row r="134" spans="1:1" x14ac:dyDescent="0.35">
      <c r="A134" s="11"/>
    </row>
    <row r="135" spans="1:1" x14ac:dyDescent="0.35">
      <c r="A135" s="11"/>
    </row>
    <row r="136" spans="1:1" x14ac:dyDescent="0.35">
      <c r="A136" s="11"/>
    </row>
    <row r="137" spans="1:1" x14ac:dyDescent="0.35">
      <c r="A137" s="11"/>
    </row>
    <row r="138" spans="1:1" x14ac:dyDescent="0.35">
      <c r="A138" s="11"/>
    </row>
    <row r="139" spans="1:1" x14ac:dyDescent="0.35">
      <c r="A139" s="11"/>
    </row>
    <row r="140" spans="1:1" x14ac:dyDescent="0.35">
      <c r="A140" s="11"/>
    </row>
    <row r="141" spans="1:1" x14ac:dyDescent="0.35">
      <c r="A141" s="11"/>
    </row>
    <row r="142" spans="1:1" x14ac:dyDescent="0.35">
      <c r="A142" s="11"/>
    </row>
    <row r="143" spans="1:1" x14ac:dyDescent="0.35">
      <c r="A143" s="11"/>
    </row>
    <row r="144" spans="1:1" x14ac:dyDescent="0.35">
      <c r="A144" s="11"/>
    </row>
    <row r="145" spans="1:3" x14ac:dyDescent="0.35">
      <c r="A145" s="11"/>
    </row>
    <row r="146" spans="1:3" x14ac:dyDescent="0.35">
      <c r="A146" s="11"/>
    </row>
    <row r="147" spans="1:3" x14ac:dyDescent="0.35">
      <c r="A147" s="11"/>
    </row>
    <row r="148" spans="1:3" x14ac:dyDescent="0.35">
      <c r="A148" s="11"/>
    </row>
    <row r="149" spans="1:3" x14ac:dyDescent="0.35">
      <c r="A149" s="11"/>
    </row>
    <row r="150" spans="1:3" x14ac:dyDescent="0.35">
      <c r="A150" s="11"/>
    </row>
    <row r="151" spans="1:3" x14ac:dyDescent="0.35">
      <c r="A151" s="11"/>
    </row>
    <row r="152" spans="1:3" x14ac:dyDescent="0.35">
      <c r="A152" s="11"/>
    </row>
    <row r="153" spans="1:3" x14ac:dyDescent="0.35">
      <c r="A153" s="11"/>
    </row>
    <row r="154" spans="1:3" x14ac:dyDescent="0.35">
      <c r="A154" s="11"/>
    </row>
    <row r="155" spans="1:3" x14ac:dyDescent="0.35">
      <c r="A155" s="11"/>
    </row>
    <row r="156" spans="1:3" x14ac:dyDescent="0.35">
      <c r="A156" s="11"/>
    </row>
    <row r="157" spans="1:3" x14ac:dyDescent="0.35">
      <c r="A157" s="11"/>
    </row>
    <row r="158" spans="1:3" x14ac:dyDescent="0.35">
      <c r="A158" s="11"/>
    </row>
    <row r="159" spans="1:3" x14ac:dyDescent="0.35">
      <c r="A159" s="11"/>
    </row>
    <row r="160" spans="1:3" x14ac:dyDescent="0.35">
      <c r="A160" s="11"/>
      <c r="B160" s="11"/>
      <c r="C160" s="11"/>
    </row>
    <row r="161" spans="1:7" x14ac:dyDescent="0.35">
      <c r="A161" s="11"/>
    </row>
    <row r="162" spans="1:7" x14ac:dyDescent="0.35">
      <c r="A162" s="11"/>
    </row>
    <row r="163" spans="1:7" x14ac:dyDescent="0.35">
      <c r="A163" s="11"/>
    </row>
    <row r="164" spans="1:7" x14ac:dyDescent="0.35">
      <c r="A164" s="11"/>
    </row>
    <row r="165" spans="1:7" x14ac:dyDescent="0.35">
      <c r="A165" s="11"/>
    </row>
    <row r="166" spans="1:7" x14ac:dyDescent="0.35">
      <c r="A166" s="11"/>
    </row>
    <row r="169" spans="1:7" x14ac:dyDescent="0.35">
      <c r="A169" s="11"/>
      <c r="G169" s="12"/>
    </row>
    <row r="170" spans="1:7" x14ac:dyDescent="0.35">
      <c r="A170" s="11"/>
    </row>
    <row r="171" spans="1:7" x14ac:dyDescent="0.35">
      <c r="A171" s="11"/>
    </row>
    <row r="172" spans="1:7" x14ac:dyDescent="0.35">
      <c r="A172" s="11"/>
    </row>
    <row r="175" spans="1:7" x14ac:dyDescent="0.35">
      <c r="A175" s="7"/>
      <c r="B175" s="7"/>
      <c r="C175" s="7"/>
      <c r="D175" s="7"/>
    </row>
    <row r="197" spans="1:1" x14ac:dyDescent="0.35">
      <c r="A197" s="11"/>
    </row>
    <row r="198" spans="1:1" x14ac:dyDescent="0.35">
      <c r="A198" s="11"/>
    </row>
    <row r="199" spans="1:1" x14ac:dyDescent="0.35">
      <c r="A199" s="11"/>
    </row>
    <row r="200" spans="1:1" x14ac:dyDescent="0.35">
      <c r="A200" s="11"/>
    </row>
    <row r="201" spans="1:1" x14ac:dyDescent="0.35">
      <c r="A201" s="11"/>
    </row>
    <row r="202" spans="1:1" x14ac:dyDescent="0.35">
      <c r="A202" s="11"/>
    </row>
    <row r="203" spans="1:1" x14ac:dyDescent="0.35">
      <c r="A203" s="11"/>
    </row>
    <row r="204" spans="1:1" x14ac:dyDescent="0.35">
      <c r="A204" s="11"/>
    </row>
    <row r="205" spans="1:1" x14ac:dyDescent="0.35">
      <c r="A205" s="11"/>
    </row>
    <row r="206" spans="1:1" x14ac:dyDescent="0.35">
      <c r="A206" s="11"/>
    </row>
    <row r="211" spans="1:8" x14ac:dyDescent="0.35">
      <c r="A211" s="7"/>
      <c r="B211" s="7"/>
      <c r="C211" s="7"/>
      <c r="D211" s="7"/>
      <c r="E211" s="7"/>
      <c r="H211" s="7"/>
    </row>
    <row r="222" spans="1:8" x14ac:dyDescent="0.35">
      <c r="A222" s="7"/>
      <c r="B222" s="7"/>
      <c r="C222" s="7"/>
      <c r="D222" s="7"/>
      <c r="E222" s="7"/>
    </row>
    <row r="225" spans="1:5" x14ac:dyDescent="0.35">
      <c r="A225" s="7"/>
      <c r="B225" s="7"/>
      <c r="C225" s="7"/>
      <c r="D225" s="7"/>
      <c r="E225" s="7"/>
    </row>
    <row r="232" spans="1:5" x14ac:dyDescent="0.35">
      <c r="A232" s="7"/>
      <c r="B232" s="7"/>
      <c r="C232" s="7"/>
      <c r="D232" s="7"/>
      <c r="E232" s="7"/>
    </row>
    <row r="235" spans="1:5" x14ac:dyDescent="0.35">
      <c r="A235" s="7"/>
      <c r="B235" s="7"/>
      <c r="C235" s="7"/>
      <c r="D235" s="7"/>
      <c r="E235" s="7"/>
    </row>
    <row r="247" spans="1:5" x14ac:dyDescent="0.35">
      <c r="A247" s="7"/>
      <c r="B247" s="7"/>
      <c r="C247" s="7"/>
    </row>
    <row r="252" spans="1:5" x14ac:dyDescent="0.35">
      <c r="E252" s="13"/>
    </row>
    <row r="266" spans="2:2" x14ac:dyDescent="0.35">
      <c r="B266" s="11"/>
    </row>
    <row r="267" spans="2:2" x14ac:dyDescent="0.35">
      <c r="B267" s="11"/>
    </row>
    <row r="268" spans="2:2" x14ac:dyDescent="0.35">
      <c r="B268" s="11"/>
    </row>
    <row r="269" spans="2:2" x14ac:dyDescent="0.35">
      <c r="B269" s="11"/>
    </row>
    <row r="284" spans="1:2" x14ac:dyDescent="0.35">
      <c r="A284" s="14"/>
      <c r="B284" s="14"/>
    </row>
    <row r="285" spans="1:2" x14ac:dyDescent="0.35">
      <c r="A285" s="14"/>
      <c r="B285" s="14"/>
    </row>
    <row r="286" spans="1:2" x14ac:dyDescent="0.35">
      <c r="A286" s="14"/>
      <c r="B286" s="14"/>
    </row>
    <row r="287" spans="1:2" x14ac:dyDescent="0.35">
      <c r="A287" s="14"/>
      <c r="B287" s="14"/>
    </row>
    <row r="288" spans="1:2" x14ac:dyDescent="0.35">
      <c r="A288" s="14"/>
      <c r="B288" s="14"/>
    </row>
    <row r="289" spans="1:2" x14ac:dyDescent="0.35">
      <c r="A289" s="14"/>
      <c r="B289" s="14"/>
    </row>
    <row r="290" spans="1:2" x14ac:dyDescent="0.35">
      <c r="A290" s="14"/>
      <c r="B290" s="14"/>
    </row>
    <row r="291" spans="1:2" x14ac:dyDescent="0.35">
      <c r="A291" s="14"/>
      <c r="B291" s="14"/>
    </row>
    <row r="292" spans="1:2" x14ac:dyDescent="0.35">
      <c r="A292" s="14"/>
      <c r="B292" s="14"/>
    </row>
    <row r="293" spans="1:2" x14ac:dyDescent="0.35">
      <c r="A293" s="14"/>
      <c r="B293" s="14"/>
    </row>
    <row r="294" spans="1:2" x14ac:dyDescent="0.35">
      <c r="A294" s="14"/>
      <c r="B294" s="14"/>
    </row>
    <row r="295" spans="1:2" x14ac:dyDescent="0.35">
      <c r="A295" s="14"/>
      <c r="B295" s="14"/>
    </row>
    <row r="296" spans="1:2" x14ac:dyDescent="0.35">
      <c r="A296" s="14"/>
      <c r="B296" s="14"/>
    </row>
    <row r="297" spans="1:2" x14ac:dyDescent="0.35">
      <c r="A297" s="14"/>
      <c r="B297" s="14"/>
    </row>
    <row r="298" spans="1:2" x14ac:dyDescent="0.35">
      <c r="A298" s="14"/>
      <c r="B298" s="14"/>
    </row>
    <row r="299" spans="1:2" x14ac:dyDescent="0.35">
      <c r="A299" s="14"/>
      <c r="B299" s="14"/>
    </row>
    <row r="300" spans="1:2" x14ac:dyDescent="0.35">
      <c r="A300" s="14"/>
      <c r="B300" s="14"/>
    </row>
    <row r="301" spans="1:2" x14ac:dyDescent="0.35">
      <c r="A301" s="14"/>
      <c r="B301" s="14"/>
    </row>
    <row r="304" spans="1:2" x14ac:dyDescent="0.35">
      <c r="A304" s="7"/>
      <c r="B304" s="7"/>
    </row>
  </sheetData>
  <autoFilter ref="B5:D5" xr:uid="{C8112505-3B83-408D-B552-1044DC61AE19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Fig1_data_final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Augusto Ramírez Trujillo</dc:creator>
  <cp:lastModifiedBy>Rafael Augusto Ramírez Trujillo</cp:lastModifiedBy>
  <dcterms:created xsi:type="dcterms:W3CDTF">2026-02-25T00:49:24Z</dcterms:created>
  <dcterms:modified xsi:type="dcterms:W3CDTF">2026-02-25T01:57:39Z</dcterms:modified>
</cp:coreProperties>
</file>